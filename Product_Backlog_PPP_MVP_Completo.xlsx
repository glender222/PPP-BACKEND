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f86403d2a84605" /></Relationships>
</file>

<file path=xl/workbook.xml><?xml version="1.0" encoding="utf-8"?>
<x:workbook xmlns:x="http://schemas.openxmlformats.org/spreadsheetml/2006/main">
  <x:sheets>
    <x:sheet xmlns:r="http://schemas.openxmlformats.org/officeDocument/2006/relationships" name="Resumen MVP" sheetId="1" r:id="R84fb3a3d4715435e"/>
    <x:sheet xmlns:r="http://schemas.openxmlformats.org/officeDocument/2006/relationships" name="Product Backlog" sheetId="2" r:id="R4715639a6c9b4051"/>
    <x:sheet xmlns:r="http://schemas.openxmlformats.org/officeDocument/2006/relationships" name="Tareas técnicas" sheetId="3" r:id="Ra703f7f69db849c8"/>
    <x:sheet xmlns:r="http://schemas.openxmlformats.org/officeDocument/2006/relationships" name="Matriz documental" sheetId="4" r:id="Rbcffb8e0db554751"/>
    <x:sheet xmlns:r="http://schemas.openxmlformats.org/officeDocument/2006/relationships" name="Roles y permisos" sheetId="5" r:id="R6952f5bf5ceb4d4c"/>
    <x:sheet xmlns:r="http://schemas.openxmlformats.org/officeDocument/2006/relationships" name="Reglas y estados" sheetId="6" r:id="R3e00b8d875184b42"/>
    <x:sheet xmlns:r="http://schemas.openxmlformats.org/officeDocument/2006/relationships" name="RNF" sheetId="7" r:id="Rc9fa78fd52ee42b3"/>
    <x:sheet xmlns:r="http://schemas.openxmlformats.org/officeDocument/2006/relationships" name="Fuentes y decisiones" sheetId="8" r:id="R7279140d77f74920"/>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name val="Carlito"/>
    </x:font>
    <x:font>
      <x:b/>
      <x:sz val="18"/>
      <x:color rgb="FFFFFFFF"/>
      <x:name val="Carlito"/>
    </x:font>
    <x:font>
      <x:i/>
      <x:sz val="10"/>
      <x:color rgb="FF595959"/>
      <x:name val="Carlito"/>
    </x:font>
    <x:font>
      <x:b/>
      <x:sz val="10"/>
      <x:color rgb="FFFFFFFF"/>
      <x:name val="Carlito"/>
    </x:font>
    <x:font>
      <x:b/>
      <x:sz val="20"/>
      <x:color rgb="FF203864"/>
      <x:name val="Carlito"/>
    </x:font>
    <x:font>
      <x:b/>
      <x:sz val="12"/>
      <x:color rgb="FFFFFFFF"/>
      <x:name val="Carlito"/>
    </x:font>
    <x:font>
      <x:sz val="10"/>
      <x:color rgb="FF1F1F1F"/>
      <x:name val="Carlito"/>
    </x:font>
    <x:font>
      <x:b/>
      <x:sz val="10"/>
      <x:color rgb="FF203864"/>
      <x:name val="Carlito"/>
    </x:font>
    <x:font>
      <x:sz val="9"/>
      <x:color rgb="FF1F1F1F"/>
      <x:name val="Carlito"/>
    </x:font>
    <x:font>
      <x:b/>
      <x:sz val="9"/>
      <x:color rgb="FF203864"/>
      <x:name val="Carlito"/>
    </x:font>
    <x:font>
      <x:b/>
      <x:sz val="18"/>
      <x:color rgb="FFFFFFFF"/>
      <x:name val="Aptos"/>
    </x:font>
    <x:font>
      <x:i/>
      <x:sz val="10"/>
      <x:color rgb="FF595959"/>
      <x:name val="Aptos"/>
    </x:font>
    <x:font>
      <x:sz val="11"/>
      <x:name val="Aptos"/>
    </x:font>
    <x:font>
      <x:b/>
      <x:sz val="10"/>
      <x:color rgb="FFFFFFFF"/>
      <x:name val="Aptos"/>
    </x:font>
    <x:font>
      <x:b/>
      <x:sz val="20"/>
      <x:color rgb="FF203864"/>
      <x:name val="Aptos"/>
    </x:font>
    <x:font>
      <x:b/>
      <x:sz val="12"/>
      <x:color rgb="FFFFFFFF"/>
      <x:name val="Aptos"/>
    </x:font>
    <x:font>
      <x:b/>
      <x:sz val="10"/>
      <x:color rgb="FF203864"/>
      <x:name val="Aptos"/>
    </x:font>
    <x:font>
      <x:sz val="10"/>
      <x:color rgb="FF1F1F1F"/>
      <x:name val="Aptos"/>
    </x:font>
    <x:font>
      <x:b/>
      <x:sz val="9"/>
      <x:color rgb="FF203864"/>
      <x:name val="Aptos"/>
    </x:font>
    <x:font>
      <x:sz val="9"/>
      <x:color rgb="FF1F1F1F"/>
      <x:name val="Aptos"/>
    </x:font>
  </x:fonts>
  <x:fills count="6">
    <x:fill>
      <x:patternFill patternType="none"/>
    </x:fill>
    <x:fill>
      <x:patternFill patternType="gray125"/>
    </x:fill>
    <x:fill>
      <x:patternFill patternType="solid">
        <x:fgColor rgb="FF203864"/>
      </x:patternFill>
    </x:fill>
    <x:fill>
      <x:patternFill patternType="solid">
        <x:fgColor rgb="FFD9EAF7"/>
      </x:patternFill>
    </x:fill>
    <x:fill>
      <x:patternFill patternType="solid">
        <x:fgColor rgb="FF2F75B5"/>
      </x:patternFill>
    </x:fill>
    <x:fill>
      <x:patternFill patternType="solid">
        <x:fgColor rgb="FFEAF3F8"/>
      </x:patternFill>
    </x:fill>
  </x:fills>
  <x:borders count="17">
    <x:border/>
    <x:border>
      <x:left style="thin">
        <x:color rgb="FF9EADBF"/>
      </x:left>
      <x:top style="thin">
        <x:color rgb="FF9EADBF"/>
      </x:top>
    </x:border>
    <x:border>
      <x:top style="thin">
        <x:color rgb="FF9EADBF"/>
      </x:top>
    </x:border>
    <x:border>
      <x:right style="thin">
        <x:color rgb="FF9EADBF"/>
      </x:right>
      <x:top style="thin">
        <x:color rgb="FF9EADBF"/>
      </x:top>
    </x:border>
    <x:border>
      <x:left style="thin">
        <x:color rgb="FF9EADBF"/>
      </x:left>
    </x:border>
    <x:border>
      <x:right style="thin">
        <x:color rgb="FF9EADBF"/>
      </x:right>
    </x:border>
    <x:border>
      <x:left style="thin">
        <x:color rgb="FF9EADBF"/>
      </x:left>
      <x:bottom style="thin">
        <x:color rgb="FF9EADBF"/>
      </x:bottom>
    </x:border>
    <x:border>
      <x:bottom style="thin">
        <x:color rgb="FF9EADBF"/>
      </x:bottom>
    </x:border>
    <x:border>
      <x:right style="thin">
        <x:color rgb="FF9EADBF"/>
      </x:right>
      <x:bottom style="thin">
        <x:color rgb="FF9EADBF"/>
      </x:bottom>
    </x:border>
    <x:border>
      <x:left style="thin">
        <x:color rgb="FF9EADBF"/>
      </x:left>
      <x:right style="thin">
        <x:color rgb="FF9EADBF"/>
      </x:right>
      <x:top style="thin">
        <x:color rgb="FF9EADBF"/>
      </x:top>
      <x:bottom style="thin">
        <x:color rgb="FF9EADBF"/>
      </x:bottom>
    </x:border>
    <x:border>
      <x:right style="thin">
        <x:color rgb="FFE6E6E6"/>
      </x:right>
      <x:bottom style="thin">
        <x:color rgb="FFD9E2F3"/>
      </x:bottom>
    </x:border>
    <x:border>
      <x:left style="thin">
        <x:color rgb="FFE6E6E6"/>
      </x:left>
      <x:right style="thin">
        <x:color rgb="FFE6E6E6"/>
      </x:right>
      <x:bottom style="thin">
        <x:color rgb="FFD9E2F3"/>
      </x:bottom>
    </x:border>
    <x:border>
      <x:left style="thin">
        <x:color rgb="FFE6E6E6"/>
      </x:left>
      <x:bottom style="thin">
        <x:color rgb="FFD9E2F3"/>
      </x:bottom>
    </x:border>
    <x:border>
      <x:right style="thin">
        <x:color rgb="FFE6E6E6"/>
      </x:right>
      <x:top style="thin">
        <x:color rgb="FFD9E2F3"/>
      </x:top>
      <x:bottom style="thin">
        <x:color rgb="FFD9E2F3"/>
      </x:bottom>
    </x:border>
    <x:border>
      <x:left style="thin">
        <x:color rgb="FFE6E6E6"/>
      </x:left>
      <x:right style="thin">
        <x:color rgb="FFE6E6E6"/>
      </x:right>
      <x:top style="thin">
        <x:color rgb="FFD9E2F3"/>
      </x:top>
      <x:bottom style="thin">
        <x:color rgb="FFD9E2F3"/>
      </x:bottom>
    </x:border>
    <x:border>
      <x:left style="thin">
        <x:color rgb="FFE6E6E6"/>
      </x:lef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7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0"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8"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vertical="center"/>
    </x:xf>
    <x:xf numFmtId="0" fontId="3" fillId="2" borderId="0" xfId="0" applyNumberFormat="1" applyFont="1" applyFill="1" applyBorder="1"/>
    <x:xf numFmtId="0" fontId="3" fillId="2" borderId="9" xfId="0" applyNumberFormat="1" applyFont="1" applyFill="1" applyBorder="1"/>
    <x:xf numFmtId="0" fontId="3" fillId="2" borderId="9" xfId="0" applyNumberFormat="1" applyFont="1" applyFill="1" applyBorder="1" applyAlignment="1">
      <x:alignment wrapText="1"/>
    </x:xf>
    <x:xf numFmtId="0" fontId="3" fillId="2" borderId="9" xfId="0" applyNumberFormat="1" applyFont="1" applyFill="1" applyBorder="1" applyAlignment="1">
      <x:alignment horizontal="center" wrapText="1"/>
    </x:xf>
    <x:xf numFmtId="0" fontId="3" fillId="2" borderId="9" xfId="0" applyNumberFormat="1" applyFont="1" applyFill="1" applyBorder="1" applyAlignment="1">
      <x:alignment horizontal="center" vertical="center" wrapText="1"/>
    </x:xf>
    <x:xf numFmtId="0" fontId="6" fillId="0" borderId="0"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6" fillId="0" borderId="14" xfId="0" applyNumberFormat="1" applyFont="1" applyFill="1" applyBorder="1"/>
    <x:xf numFmtId="0" fontId="6" fillId="0" borderId="15" xfId="0" applyNumberFormat="1" applyFont="1" applyFill="1" applyBorder="1"/>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3" borderId="10" xfId="0" applyNumberFormat="1" applyFont="1" applyFill="1" applyBorder="1" applyAlignment="1">
      <x:alignment vertical="top" wrapText="1"/>
    </x:xf>
    <x:xf numFmtId="0" fontId="6" fillId="3" borderId="13" xfId="0" applyNumberFormat="1" applyFont="1" applyFill="1" applyBorder="1" applyAlignment="1">
      <x:alignment vertical="top" wrapText="1"/>
    </x:xf>
    <x:xf numFmtId="0" fontId="7" fillId="3" borderId="10"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3" borderId="16" xfId="0" applyNumberFormat="1" applyFont="1" applyFill="1" applyBorder="1" applyAlignment="1">
      <x:alignment vertical="top" wrapText="1"/>
    </x:xf>
    <x:xf numFmtId="0" fontId="7" fillId="3" borderId="16" xfId="0" applyNumberFormat="1" applyFont="1" applyFill="1" applyBorder="1" applyAlignment="1">
      <x:alignment horizontal="center" vertical="top" wrapText="1"/>
    </x:xf>
    <x:xf numFmtId="0" fontId="7" fillId="3" borderId="16" xfId="0" applyNumberFormat="1" applyFont="1" applyFill="1" applyBorder="1" applyAlignment="1">
      <x:alignment horizontal="center" vertical="center" wrapText="1"/>
    </x:xf>
    <x:xf numFmtId="0" fontId="6" fillId="0" borderId="11" xfId="0" applyNumberFormat="1" applyFont="1" applyFill="1" applyBorder="1" applyAlignment="1">
      <x:alignment horizontal="center" vertical="top" wrapText="1"/>
    </x:xf>
    <x:xf numFmtId="0" fontId="6" fillId="0" borderId="12" xfId="0" applyNumberFormat="1" applyFont="1" applyFill="1" applyBorder="1" applyAlignment="1">
      <x:alignment horizontal="center" vertical="top" wrapText="1"/>
    </x:xf>
    <x:xf numFmtId="0" fontId="6" fillId="0" borderId="14" xfId="0" applyNumberFormat="1" applyFont="1" applyFill="1" applyBorder="1" applyAlignment="1">
      <x:alignment horizontal="center" vertical="top" wrapText="1"/>
    </x:xf>
    <x:xf numFmtId="0" fontId="6" fillId="0" borderId="15" xfId="0" applyNumberFormat="1" applyFont="1" applyFill="1" applyBorder="1" applyAlignment="1">
      <x:alignment horizontal="center" vertical="top" wrapText="1"/>
    </x:xf>
    <x:xf numFmtId="0" fontId="8" fillId="0" borderId="0"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0" borderId="12" xfId="0" applyNumberFormat="1" applyFont="1" applyFill="1" applyBorder="1"/>
    <x:xf numFmtId="0" fontId="8" fillId="0" borderId="13" xfId="0" applyNumberFormat="1" applyFont="1" applyFill="1" applyBorder="1"/>
    <x:xf numFmtId="0" fontId="8" fillId="0" borderId="14" xfId="0" applyNumberFormat="1" applyFont="1" applyFill="1" applyBorder="1"/>
    <x:xf numFmtId="0" fontId="8" fillId="0" borderId="15" xfId="0" applyNumberFormat="1" applyFont="1" applyFill="1" applyBorder="1"/>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4" xfId="0" applyNumberFormat="1" applyFont="1" applyFill="1" applyBorder="1" applyAlignment="1">
      <x:alignment wrapText="1"/>
    </x:xf>
    <x:xf numFmtId="0" fontId="8" fillId="0" borderId="15" xfId="0" applyNumberFormat="1" applyFont="1" applyFill="1" applyBorder="1" applyAlignment="1">
      <x:alignment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9" fillId="0" borderId="10" xfId="0" applyNumberFormat="1" applyFont="1" applyFill="1" applyBorder="1" applyAlignment="1">
      <x:alignment vertical="top" wrapText="1"/>
    </x:xf>
    <x:xf numFmtId="0" fontId="9" fillId="0" borderId="13" xfId="0" applyNumberFormat="1" applyFont="1" applyFill="1" applyBorder="1" applyAlignment="1">
      <x:alignment vertical="top" wrapText="1"/>
    </x:xf>
    <x:xf numFmtId="0" fontId="10" fillId="2" borderId="0" xfId="0" applyNumberFormat="1" applyFont="1" applyFill="1" applyBorder="1" applyAlignment="1">
      <x:alignment horizontal="left" vertical="center"/>
    </x:xf>
    <x:xf numFmtId="0" fontId="11" fillId="3" borderId="0" xfId="0" applyNumberFormat="1" applyFont="1" applyFill="1" applyBorder="1" applyAlignment="1">
      <x:alignment vertical="center" wrapText="1"/>
    </x:xf>
    <x:xf numFmtId="0" fontId="12" fillId="0" borderId="0" xfId="0" applyNumberFormat="1" applyFont="1" applyFill="1" applyBorder="1"/>
    <x:xf numFmtId="0" fontId="13" fillId="4" borderId="0" xfId="0" applyNumberFormat="1" applyFont="1" applyFill="1" applyBorder="1" applyAlignment="1">
      <x:alignment horizontal="center" vertical="center"/>
    </x:xf>
    <x:xf numFmtId="0" fontId="14" fillId="5" borderId="1" xfId="0" applyNumberFormat="1" applyFont="1" applyFill="1" applyBorder="1" applyAlignment="1">
      <x:alignment horizontal="center" vertical="center"/>
    </x:xf>
    <x:xf numFmtId="0" fontId="14" fillId="5" borderId="2" xfId="0" applyNumberFormat="1" applyFont="1" applyFill="1" applyBorder="1" applyAlignment="1">
      <x:alignment horizontal="center" vertical="center"/>
    </x:xf>
    <x:xf numFmtId="0" fontId="14" fillId="5" borderId="3" xfId="0" applyNumberFormat="1" applyFont="1" applyFill="1" applyBorder="1" applyAlignment="1">
      <x:alignment horizontal="center" vertical="center"/>
    </x:xf>
    <x:xf numFmtId="0" fontId="14" fillId="5" borderId="4"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5" xfId="0" applyNumberFormat="1" applyFont="1" applyFill="1" applyBorder="1" applyAlignment="1">
      <x:alignment horizontal="center" vertical="center"/>
    </x:xf>
    <x:xf numFmtId="0" fontId="14" fillId="5" borderId="6" xfId="0" applyNumberFormat="1" applyFont="1" applyFill="1" applyBorder="1" applyAlignment="1">
      <x:alignment horizontal="center" vertical="center"/>
    </x:xf>
    <x:xf numFmtId="0" fontId="14" fillId="5" borderId="7" xfId="0" applyNumberFormat="1" applyFont="1" applyFill="1" applyBorder="1" applyAlignment="1">
      <x:alignment horizontal="center" vertical="center"/>
    </x:xf>
    <x:xf numFmtId="0" fontId="14" fillId="5" borderId="8" xfId="0" applyNumberFormat="1" applyFont="1" applyFill="1" applyBorder="1" applyAlignment="1">
      <x:alignment horizontal="center" vertical="center"/>
    </x:xf>
    <x:xf numFmtId="0" fontId="15" fillId="4" borderId="0" xfId="0" applyNumberFormat="1" applyFont="1" applyFill="1" applyBorder="1" applyAlignment="1">
      <x:alignment vertical="center"/>
    </x:xf>
    <x:xf numFmtId="0" fontId="13" fillId="2" borderId="9" xfId="0" applyNumberFormat="1" applyFont="1" applyFill="1" applyBorder="1" applyAlignment="1">
      <x:alignment horizontal="center" vertical="center" wrapText="1"/>
    </x:xf>
    <x:xf numFmtId="0" fontId="16" fillId="3" borderId="16" xfId="0" applyNumberFormat="1" applyFont="1" applyFill="1" applyBorder="1" applyAlignment="1">
      <x:alignment horizontal="center" vertical="center" wrapText="1"/>
    </x:xf>
    <x:xf numFmtId="0" fontId="17" fillId="0" borderId="11" xfId="0" applyNumberFormat="1" applyFont="1" applyFill="1" applyBorder="1" applyAlignment="1">
      <x:alignment vertical="top" wrapText="1"/>
    </x:xf>
    <x:xf numFmtId="0" fontId="17" fillId="0" borderId="11" xfId="0" applyNumberFormat="1" applyFont="1" applyFill="1" applyBorder="1" applyAlignment="1">
      <x:alignment horizontal="center" vertical="top" wrapText="1"/>
    </x:xf>
    <x:xf numFmtId="0" fontId="17" fillId="0" borderId="12" xfId="0" applyNumberFormat="1" applyFont="1" applyFill="1" applyBorder="1" applyAlignment="1">
      <x:alignment horizontal="center" vertical="top" wrapText="1"/>
    </x:xf>
    <x:xf numFmtId="0" fontId="17" fillId="0" borderId="14" xfId="0" applyNumberFormat="1" applyFont="1" applyFill="1" applyBorder="1" applyAlignment="1">
      <x:alignment vertical="top" wrapText="1"/>
    </x:xf>
    <x:xf numFmtId="0" fontId="17" fillId="0" borderId="14" xfId="0" applyNumberFormat="1" applyFont="1" applyFill="1" applyBorder="1" applyAlignment="1">
      <x:alignment horizontal="center" vertical="top" wrapText="1"/>
    </x:xf>
    <x:xf numFmtId="0" fontId="17" fillId="0" borderId="15" xfId="0" applyNumberFormat="1" applyFont="1" applyFill="1" applyBorder="1" applyAlignment="1">
      <x:alignment horizontal="center" vertical="top" wrapText="1"/>
    </x:xf>
    <x:xf numFmtId="0" fontId="18" fillId="0" borderId="10" xfId="0" applyNumberFormat="1" applyFont="1" applyFill="1" applyBorder="1" applyAlignment="1">
      <x:alignment vertical="top" wrapText="1"/>
    </x:xf>
    <x:xf numFmtId="0" fontId="19" fillId="0" borderId="11" xfId="0" applyNumberFormat="1" applyFont="1" applyFill="1" applyBorder="1" applyAlignment="1">
      <x:alignment vertical="top" wrapText="1"/>
    </x:xf>
    <x:xf numFmtId="0" fontId="19" fillId="0" borderId="12" xfId="0" applyNumberFormat="1" applyFont="1" applyFill="1" applyBorder="1" applyAlignment="1">
      <x:alignment vertical="top" wrapText="1"/>
    </x:xf>
    <x:xf numFmtId="0" fontId="18" fillId="0" borderId="13" xfId="0" applyNumberFormat="1" applyFont="1" applyFill="1" applyBorder="1" applyAlignment="1">
      <x:alignment vertical="top" wrapText="1"/>
    </x:xf>
    <x:xf numFmtId="0" fontId="19" fillId="0" borderId="14" xfId="0" applyNumberFormat="1" applyFont="1" applyFill="1" applyBorder="1" applyAlignment="1">
      <x:alignment vertical="top" wrapText="1"/>
    </x:xf>
    <x:xf numFmtId="0" fontId="19" fillId="0" borderId="15" xfId="0" applyNumberFormat="1" applyFont="1" applyFill="1" applyBorder="1" applyAlignment="1">
      <x:alignment vertical="top" wrapText="1"/>
    </x:xf>
    <x:xf numFmtId="0" fontId="17" fillId="0" borderId="10" xfId="0" applyNumberFormat="1" applyFont="1" applyFill="1" applyBorder="1" applyAlignment="1">
      <x:alignment vertical="top" wrapText="1"/>
    </x:xf>
    <x:xf numFmtId="0" fontId="17" fillId="0" borderId="12" xfId="0" applyNumberFormat="1" applyFont="1" applyFill="1" applyBorder="1" applyAlignment="1">
      <x:alignment vertical="top" wrapText="1"/>
    </x:xf>
    <x:xf numFmtId="0" fontId="17" fillId="0" borderId="13" xfId="0" applyNumberFormat="1" applyFont="1" applyFill="1" applyBorder="1" applyAlignment="1">
      <x:alignment vertical="top" wrapText="1"/>
    </x:xf>
    <x:xf numFmtId="0" fontId="17" fillId="0" borderId="15" xfId="0" applyNumberFormat="1" applyFont="1" applyFill="1" applyBorder="1" applyAlignment="1">
      <x:alignment vertical="top" wrapText="1"/>
    </x:xf>
    <x:xf numFmtId="0" fontId="8" fillId="3" borderId="10" xfId="0" applyNumberFormat="1" applyFont="1" applyFill="1" applyBorder="1" applyAlignment="1">
      <x:alignment vertical="top" wrapText="1"/>
    </x:xf>
    <x:xf numFmtId="0" fontId="8" fillId="3" borderId="13" xfId="0" applyNumberFormat="1" applyFont="1" applyFill="1" applyBorder="1" applyAlignment="1">
      <x:alignment vertical="top" wrapText="1"/>
    </x:xf>
    <x:xf numFmtId="0" fontId="9" fillId="3" borderId="10" xfId="0" applyNumberFormat="1" applyFont="1" applyFill="1" applyBorder="1" applyAlignment="1">
      <x:alignment vertical="top" wrapText="1"/>
    </x:xf>
    <x:xf numFmtId="0" fontId="9" fillId="3" borderId="13" xfId="0" applyNumberFormat="1" applyFont="1" applyFill="1" applyBorder="1" applyAlignment="1">
      <x:alignment vertical="top" wrapText="1"/>
    </x:xf>
    <x:xf numFmtId="0" fontId="9" fillId="3" borderId="16" xfId="0" applyNumberFormat="1" applyFont="1" applyFill="1" applyBorder="1" applyAlignment="1">
      <x:alignment vertical="top" wrapText="1"/>
    </x:xf>
    <x:xf numFmtId="0" fontId="9" fillId="3" borderId="16" xfId="0" applyNumberFormat="1" applyFont="1" applyFill="1" applyBorder="1" applyAlignment="1">
      <x:alignment horizontal="center" vertical="top" wrapText="1"/>
    </x:xf>
    <x:xf numFmtId="0" fontId="9" fillId="3" borderId="16" xfId="0" applyNumberFormat="1" applyFont="1" applyFill="1" applyBorder="1" applyAlignment="1">
      <x:alignment horizontal="center" vertical="center" wrapText="1"/>
    </x:xf>
    <x:xf numFmtId="0" fontId="9" fillId="0" borderId="11" xfId="0" applyNumberFormat="1" applyFont="1" applyFill="1" applyBorder="1" applyAlignment="1">
      <x:alignment vertical="top" wrapText="1"/>
    </x:xf>
    <x:xf numFmtId="0" fontId="9" fillId="0" borderId="14" xfId="0" applyNumberFormat="1" applyFont="1" applyFill="1" applyBorder="1" applyAlignment="1">
      <x:alignment vertical="top" wrapText="1"/>
    </x:xf>
    <x:xf numFmtId="0" fontId="8" fillId="0" borderId="11" xfId="0" applyNumberFormat="1" applyFont="1" applyFill="1" applyBorder="1" applyAlignment="1">
      <x:alignment vertical="center" wrapText="1"/>
    </x:xf>
    <x:xf numFmtId="0" fontId="8" fillId="0" borderId="14" xfId="0" applyNumberFormat="1" applyFont="1" applyFill="1" applyBorder="1" applyAlignment="1">
      <x:alignment vertical="center" wrapText="1"/>
    </x:xf>
    <x:xf numFmtId="0" fontId="8" fillId="0" borderId="11" xfId="0" applyNumberFormat="1" applyFont="1" applyFill="1" applyBorder="1" applyAlignment="1">
      <x:alignment horizontal="center" vertical="center" wrapText="1"/>
    </x:xf>
    <x:xf numFmtId="0" fontId="8" fillId="0" borderId="14" xfId="0" applyNumberFormat="1" applyFont="1" applyFill="1" applyBorder="1" applyAlignment="1">
      <x:alignment horizontal="center" vertical="center" wrapText="1"/>
    </x:xf>
    <x:xf numFmtId="0" fontId="18" fillId="3" borderId="16" xfId="0" applyNumberFormat="1" applyFont="1" applyFill="1" applyBorder="1" applyAlignment="1">
      <x:alignment horizontal="center" vertical="center" wrapText="1"/>
    </x:xf>
    <x:xf numFmtId="0" fontId="18" fillId="0" borderId="11" xfId="0" applyNumberFormat="1" applyFont="1" applyFill="1" applyBorder="1" applyAlignment="1">
      <x:alignment vertical="top" wrapText="1"/>
    </x:xf>
    <x:xf numFmtId="0" fontId="19" fillId="0" borderId="11" xfId="0" applyNumberFormat="1" applyFont="1" applyFill="1" applyBorder="1" applyAlignment="1">
      <x:alignment horizontal="center" vertical="center" wrapText="1"/>
    </x:xf>
    <x:xf numFmtId="0" fontId="18" fillId="0" borderId="14" xfId="0" applyNumberFormat="1" applyFont="1" applyFill="1" applyBorder="1" applyAlignment="1">
      <x:alignment vertical="top" wrapText="1"/>
    </x:xf>
    <x:xf numFmtId="0" fontId="19" fillId="0" borderId="14" xfId="0" applyNumberFormat="1" applyFont="1" applyFill="1" applyBorder="1" applyAlignment="1">
      <x:alignment horizontal="center" vertical="center" wrapText="1"/>
    </x:xf>
    <x:xf numFmtId="0" fontId="8" fillId="0" borderId="10" xfId="0" applyNumberFormat="1" applyFont="1" applyFill="1" applyBorder="1" applyAlignment="1">
      <x:alignment horizontal="center" vertical="top" wrapText="1"/>
    </x:xf>
    <x:xf numFmtId="0" fontId="8" fillId="0" borderId="11" xfId="0" applyNumberFormat="1" applyFont="1" applyFill="1" applyBorder="1" applyAlignment="1">
      <x:alignment horizontal="center" vertical="top" wrapText="1"/>
    </x:xf>
    <x:xf numFmtId="0" fontId="8" fillId="0" borderId="13" xfId="0" applyNumberFormat="1" applyFont="1" applyFill="1" applyBorder="1" applyAlignment="1">
      <x:alignment horizontal="center" vertical="top" wrapText="1"/>
    </x:xf>
    <x:xf numFmtId="0" fontId="8" fillId="0" borderId="14" xfId="0" applyNumberFormat="1" applyFont="1" applyFill="1" applyBorder="1" applyAlignment="1">
      <x:alignment horizontal="center" vertical="top" wrapText="1"/>
    </x:xf>
    <x:xf numFmtId="0" fontId="8" fillId="0" borderId="10" xfId="0" applyNumberFormat="1" applyFont="1" applyFill="1" applyBorder="1" applyAlignment="1">
      <x:alignment horizontal="center" vertical="center" wrapText="1"/>
    </x:xf>
    <x:xf numFmtId="0" fontId="8" fillId="0" borderId="13" xfId="0" applyNumberFormat="1" applyFont="1" applyFill="1" applyBorder="1" applyAlignment="1">
      <x:alignment horizontal="center" vertical="center" wrapText="1"/>
    </x:xf>
    <x:xf numFmtId="0" fontId="8" fillId="0" borderId="12" xfId="0" applyNumberFormat="1" applyFont="1" applyFill="1" applyBorder="1" applyAlignment="1">
      <x:alignment horizontal="center" vertical="top" wrapText="1"/>
    </x:xf>
    <x:xf numFmtId="0" fontId="8" fillId="0" borderId="15" xfId="0" applyNumberFormat="1" applyFont="1" applyFill="1" applyBorder="1" applyAlignment="1">
      <x:alignment horizontal="center" vertical="top" wrapText="1"/>
    </x:xf>
    <x:xf numFmtId="0" fontId="8" fillId="0" borderId="12" xfId="0" applyNumberFormat="1" applyFont="1" applyFill="1" applyBorder="1" applyAlignment="1">
      <x:alignment horizontal="center" vertical="center" wrapText="1"/>
    </x:xf>
    <x:xf numFmtId="0" fontId="8" fillId="0" borderId="15" xfId="0" applyNumberFormat="1" applyFont="1" applyFill="1" applyBorder="1" applyAlignment="1">
      <x:alignment horizontal="center" vertical="center" wrapText="1"/>
    </x:xf>
    <x:xf numFmtId="0" fontId="19" fillId="0" borderId="10" xfId="0" applyNumberFormat="1" applyFont="1" applyFill="1" applyBorder="1" applyAlignment="1">
      <x:alignment horizontal="center" vertical="center" wrapText="1"/>
    </x:xf>
    <x:xf numFmtId="0" fontId="19" fillId="0" borderId="12" xfId="0" applyNumberFormat="1" applyFont="1" applyFill="1" applyBorder="1" applyAlignment="1">
      <x:alignment horizontal="center" vertical="center" wrapText="1"/>
    </x:xf>
    <x:xf numFmtId="0" fontId="19" fillId="0" borderId="13" xfId="0" applyNumberFormat="1" applyFont="1" applyFill="1" applyBorder="1" applyAlignment="1">
      <x:alignment horizontal="center" vertical="center" wrapText="1"/>
    </x:xf>
    <x:xf numFmtId="0" fontId="19" fillId="0" borderId="15" xfId="0" applyNumberFormat="1" applyFont="1" applyFill="1" applyBorder="1" applyAlignment="1">
      <x:alignment horizontal="center" vertical="center" wrapText="1"/>
    </x:xf>
    <x:xf numFmtId="0" fontId="8" fillId="3" borderId="10" xfId="0" applyNumberFormat="1" applyFont="1" applyFill="1" applyBorder="1" applyAlignment="1">
      <x:alignment horizontal="center" vertical="top" wrapText="1"/>
    </x:xf>
    <x:xf numFmtId="0" fontId="8" fillId="3" borderId="13" xfId="0" applyNumberFormat="1" applyFont="1" applyFill="1" applyBorder="1" applyAlignment="1">
      <x:alignment horizontal="center" vertical="top" wrapText="1"/>
    </x:xf>
    <x:xf numFmtId="0" fontId="9" fillId="3" borderId="10" xfId="0" applyNumberFormat="1" applyFont="1" applyFill="1" applyBorder="1" applyAlignment="1">
      <x:alignment horizontal="center" vertical="top" wrapText="1"/>
    </x:xf>
    <x:xf numFmtId="0" fontId="9" fillId="3" borderId="13" xfId="0" applyNumberFormat="1" applyFont="1" applyFill="1" applyBorder="1" applyAlignment="1">
      <x:alignment horizontal="center" vertical="top" wrapText="1"/>
    </x:xf>
    <x:xf numFmtId="0" fontId="19" fillId="0" borderId="11" xfId="0" applyNumberFormat="1" applyFont="1" applyFill="1" applyBorder="1" applyAlignment="1">
      <x:alignment horizontal="center" vertical="top" wrapText="1"/>
    </x:xf>
    <x:xf numFmtId="0" fontId="19" fillId="0" borderId="14" xfId="0" applyNumberFormat="1" applyFont="1" applyFill="1" applyBorder="1" applyAlignment="1">
      <x:alignment horizontal="center" vertical="top" wrapText="1"/>
    </x:xf>
    <x:xf numFmtId="0" fontId="9" fillId="3" borderId="16" xfId="0" applyNumberFormat="1" applyFont="1" applyFill="1" applyBorder="1" applyAlignment="1">
      <x:alignment vertical="center" wrapText="1"/>
    </x:xf>
    <x:xf numFmtId="0" fontId="18" fillId="3" borderId="16" xfId="0" applyNumberFormat="1" applyFont="1" applyFill="1" applyBorder="1" applyAlignment="1">
      <x:alignment vertical="center" wrapText="1"/>
    </x:xf>
  </x:cellXfs>
  <x:cellStyles count="1">
    <x:cellStyle name="Normal" xfId="0"/>
  </x:cellStyles>
  <x:dxfs count="32">
    <x:dxf>
      <x:font>
        <x:b/>
        <x:color rgb="FF006100"/>
      </x:font>
      <x:fill>
        <x:patternFill patternType="solid">
          <x:bgColor rgb="FFE2F0D9"/>
        </x:patternFill>
      </x:fill>
    </x:dxf>
    <x:dxf>
      <x:font>
        <x:b/>
        <x:color rgb="FF9C6500"/>
      </x:font>
      <x:fill>
        <x:patternFill patternType="solid">
          <x:bgColor rgb="FFFFF2CC"/>
        </x:patternFill>
      </x:fill>
    </x:dxf>
    <x:dxf>
      <x:font>
        <x:b/>
        <x:color rgb="FF595959"/>
      </x:font>
      <x:fill>
        <x:patternFill patternType="solid">
          <x:bgColor rgb="FFF2F2F2"/>
        </x:patternFill>
      </x:fill>
    </x:dxf>
    <x:dxf>
      <x:font>
        <x:b/>
        <x:color rgb="FF9C0006"/>
      </x:font>
      <x:fill>
        <x:patternFill patternType="solid">
          <x:bgColor rgb="FFF4CCCC"/>
        </x:patternFill>
      </x:fill>
    </x:dxf>
    <x:dxf>
      <x:font>
        <x:b/>
        <x:color rgb="FF9C6500"/>
      </x:font>
      <x:fill>
        <x:patternFill patternType="solid">
          <x:bgColor rgb="FFFFF2CC"/>
        </x:patternFill>
      </x:fill>
    </x:dxf>
    <x:dxf>
      <x:font>
        <x:b/>
        <x:color rgb="FF006100"/>
      </x:font>
      <x:fill>
        <x:patternFill patternType="solid">
          <x:bgColor rgb="FFE2F0D9"/>
        </x:patternFill>
      </x:fill>
    </x:dxf>
    <x:dxf>
      <x:font>
        <x:color rgb="FF595959"/>
      </x:font>
      <x:fill>
        <x:patternFill patternType="solid">
          <x:bgColor rgb="FFF2F2F2"/>
        </x:patternFill>
      </x:fill>
    </x:dxf>
    <x:dxf>
      <x:font>
        <x:b/>
        <x:color rgb="FF203864"/>
      </x:font>
      <x:fill>
        <x:patternFill patternType="solid">
          <x:bgColor rgb="FFD9EAF7"/>
        </x:patternFill>
      </x:fill>
    </x:dxf>
    <x:dxf>
      <x:font>
        <x:b/>
        <x:color rgb="FFC00000"/>
      </x:font>
      <x:fill>
        <x:patternFill patternType="solid">
          <x:bgColor rgb="FFFCE4D6"/>
        </x:patternFill>
      </x:fill>
    </x:dxf>
    <x:dxf>
      <x:font>
        <x:b/>
        <x:color rgb="FF006100"/>
      </x:font>
      <x:fill>
        <x:patternFill patternType="solid">
          <x:bgColor rgb="FFE2F0D9"/>
        </x:patternFill>
      </x:fill>
    </x:dxf>
    <x:dxf>
      <x:font>
        <x:b/>
        <x:color rgb="FF9C0006"/>
      </x:font>
      <x:fill>
        <x:patternFill patternType="solid">
          <x:bgColor rgb="FFF4CCCC"/>
        </x:patternFill>
      </x:fill>
    </x:dxf>
    <x:dxf>
      <x:font>
        <x:b/>
        <x:color rgb="FF9C6500"/>
      </x:font>
      <x:fill>
        <x:patternFill patternType="solid">
          <x:bgColor rgb="FFFFF2CC"/>
        </x:patternFill>
      </x:fill>
    </x:dxf>
    <x:dxf>
      <x:font>
        <x:b/>
        <x:color rgb="FF006100"/>
      </x:font>
      <x:fill>
        <x:patternFill patternType="solid">
          <x:bgColor rgb="FFE2F0D9"/>
        </x:patternFill>
      </x:fill>
    </x:dxf>
    <x:dxf>
      <x:font>
        <x:color rgb="FF595959"/>
      </x:font>
      <x:fill>
        <x:patternFill patternType="solid">
          <x:bgColor rgb="FFF2F2F2"/>
        </x:patternFill>
      </x:fill>
    </x:dxf>
    <x:dxf>
      <x:font>
        <x:b/>
        <x:color rgb="FF203864"/>
      </x:font>
      <x:fill>
        <x:patternFill patternType="solid">
          <x:bgColor rgb="FFD9EAF7"/>
        </x:patternFill>
      </x:fill>
    </x:dxf>
    <x:dxf>
      <x:font>
        <x:b/>
        <x:color rgb="FFC00000"/>
      </x:font>
      <x:fill>
        <x:patternFill patternType="solid">
          <x:bgColor rgb="FFFCE4D6"/>
        </x:patternFill>
      </x:fill>
    </x:dxf>
    <x:dxf>
      <x:font>
        <x:b/>
        <x:color rgb="FF006100"/>
      </x:font>
      <x:fill>
        <x:patternFill patternType="solid">
          <x:bgColor rgb="FFE2F0D9"/>
        </x:patternFill>
      </x:fill>
    </x:dxf>
    <x:dxf>
      <x:font>
        <x:b/>
        <x:color rgb="FFFFFFFF"/>
      </x:font>
      <x:fill>
        <x:patternFill patternType="solid">
          <x:bgColor rgb="FFBFBFBF"/>
        </x:patternFill>
      </x:fill>
    </x:dxf>
    <x:dxf>
      <x:font>
        <x:b/>
        <x:color rgb="FFFFFFFF"/>
      </x:font>
      <x:fill>
        <x:patternFill patternType="solid">
          <x:bgColor rgb="FF2F75B5"/>
        </x:patternFill>
      </x:fill>
    </x:dxf>
    <x:dxf>
      <x:font>
        <x:b/>
        <x:color rgb="FFFFFFFF"/>
      </x:font>
      <x:fill>
        <x:patternFill patternType="solid">
          <x:bgColor rgb="FF4472C4"/>
        </x:patternFill>
      </x:fill>
    </x:dxf>
    <x:dxf>
      <x:font>
        <x:b/>
        <x:color rgb="FF1F1F1F"/>
      </x:font>
      <x:fill>
        <x:patternFill patternType="solid">
          <x:bgColor rgb="FFFFC000"/>
        </x:patternFill>
      </x:fill>
    </x:dxf>
    <x:dxf>
      <x:font>
        <x:b/>
        <x:color rgb="FF006100"/>
      </x:font>
      <x:fill>
        <x:patternFill patternType="solid">
          <x:bgColor rgb="FFE2F0D9"/>
        </x:patternFill>
      </x:fill>
    </x:dxf>
    <x:dxf>
      <x:font>
        <x:b/>
        <x:color rgb="FF9C6500"/>
      </x:font>
      <x:fill>
        <x:patternFill patternType="solid">
          <x:bgColor rgb="FFFFF2CC"/>
        </x:patternFill>
      </x:fill>
    </x:dxf>
    <x:dxf>
      <x:font>
        <x:color rgb="FF595959"/>
      </x:font>
      <x:fill>
        <x:patternFill patternType="solid">
          <x:bgColor rgb="FFF2F2F2"/>
        </x:patternFill>
      </x:fill>
    </x:dxf>
    <x:dxf>
      <x:font>
        <x:b/>
        <x:color rgb="FFC00000"/>
      </x:font>
      <x:fill>
        <x:patternFill patternType="solid">
          <x:bgColor rgb="FFFCE4D6"/>
        </x:patternFill>
      </x:fill>
    </x:dxf>
    <x:dxf>
      <x:font>
        <x:color rgb="FF006100"/>
      </x:font>
      <x:fill>
        <x:patternFill patternType="solid">
          <x:bgColor rgb="FFE2F0D9"/>
        </x:patternFill>
      </x:fill>
    </x:dxf>
    <x:dxf>
      <x:font>
        <x:color rgb="FF9C6500"/>
      </x:font>
      <x:fill>
        <x:patternFill patternType="solid">
          <x:bgColor rgb="FFFFF2CC"/>
        </x:patternFill>
      </x:fill>
    </x:dxf>
    <x:dxf>
      <x:font>
        <x:b/>
        <x:color rgb="FF9C0006"/>
      </x:font>
      <x:fill>
        <x:patternFill patternType="solid">
          <x:bgColor rgb="FFF4CCCC"/>
        </x:patternFill>
      </x:fill>
    </x:dxf>
    <x:dxf>
      <x:font>
        <x:b/>
        <x:color rgb="FF9C6500"/>
      </x:font>
      <x:fill>
        <x:patternFill patternType="solid">
          <x:bgColor rgb="FFFFF2CC"/>
        </x:patternFill>
      </x:fill>
    </x:dxf>
    <x:dxf>
      <x:font>
        <x:b/>
        <x:color rgb="FF006100"/>
      </x:font>
      <x:fill>
        <x:patternFill patternType="solid">
          <x:bgColor rgb="FFE2F0D9"/>
        </x:patternFill>
      </x:fill>
    </x:dxf>
    <x:dxf>
      <x:font>
        <x:b/>
        <x:color rgb="FF006100"/>
      </x:font>
      <x:fill>
        <x:patternFill patternType="solid">
          <x:bgColor rgb="FFE2F0D9"/>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15dfc7337c4ab5" /><Relationship Type="http://schemas.openxmlformats.org/officeDocument/2006/relationships/theme" Target="/xl/theme/theme1.xml" Id="R44fef1c30ded42ac" /><Relationship Type="http://schemas.openxmlformats.org/officeDocument/2006/relationships/sharedStrings" Target="/xl/sharedStrings.xml" Id="Raf78c58254274799" /><Relationship Type="http://schemas.openxmlformats.org/officeDocument/2006/relationships/worksheet" Target="/xl/worksheets/sheet1.xml" Id="R84fb3a3d4715435e" /><Relationship Type="http://schemas.openxmlformats.org/officeDocument/2006/relationships/worksheet" Target="/xl/worksheets/sheet2.xml" Id="R4715639a6c9b4051" /><Relationship Type="http://schemas.openxmlformats.org/officeDocument/2006/relationships/worksheet" Target="/xl/worksheets/sheet3.xml" Id="Ra703f7f69db849c8" /><Relationship Type="http://schemas.openxmlformats.org/officeDocument/2006/relationships/worksheet" Target="/xl/worksheets/sheet4.xml" Id="Rbcffb8e0db554751" /><Relationship Type="http://schemas.openxmlformats.org/officeDocument/2006/relationships/worksheet" Target="/xl/worksheets/sheet5.xml" Id="R6952f5bf5ceb4d4c" /><Relationship Type="http://schemas.openxmlformats.org/officeDocument/2006/relationships/worksheet" Target="/xl/worksheets/sheet6.xml" Id="R3e00b8d875184b42" /><Relationship Type="http://schemas.openxmlformats.org/officeDocument/2006/relationships/worksheet" Target="/xl/worksheets/sheet7.xml" Id="Rc9fa78fd52ee42b3" /><Relationship Type="http://schemas.openxmlformats.org/officeDocument/2006/relationships/worksheet" Target="/xl/worksheets/sheet8.xml" Id="R7279140d77f74920" /></Relationships>
</file>

<file path=xl/tables/table1.xml><?xml version="1.0" encoding="utf-8"?>
<x:table xmlns:x="http://schemas.openxmlformats.org/spreadsheetml/2006/main" id="1" name="ProductBacklogTable" displayName="ProductBacklogTable" ref="A4:L49" headerRowCount="1" totalsRowCount="0" totalsRowShown="0">
  <x:tableColumns count="12">
    <x:tableColumn id="1" name="ID"/>
    <x:tableColumn id="2" name="Épica"/>
    <x:tableColumn id="3" name="Como"/>
    <x:tableColumn id="4" name="Quiero"/>
    <x:tableColumn id="5" name="Para"/>
    <x:tableColumn id="6" name="Criterios de aceptación"/>
    <x:tableColumn id="7" name="Prioridad"/>
    <x:tableColumn id="8" name="SP"/>
    <x:tableColumn id="9" name="Sprint"/>
    <x:tableColumn id="10" name="Estado"/>
    <x:tableColumn id="11" name="Dependencias"/>
    <x:tableColumn id="12" name="Fuente"/>
  </x:tableColumns>
  <x:tableStyleInfo name="TableStyleMedium2" showFirstColumn="0" showLastColumn="0" showRowStripes="1" showColumnStripes="0"/>
</x:table>
</file>

<file path=xl/tables/table2.xml><?xml version="1.0" encoding="utf-8"?>
<x:table xmlns:x="http://schemas.openxmlformats.org/spreadsheetml/2006/main" id="2" name="TechnicalTasksTable" displayName="TechnicalTasksTable" ref="A4:I184" headerRowCount="1" totalsRowCount="0" totalsRowShown="0">
  <x:tableColumns count="9">
    <x:tableColumn id="1" name="ID tarea"/>
    <x:tableColumn id="2" name="HU"/>
    <x:tableColumn id="3" name="Épica"/>
    <x:tableColumn id="4" name="Tipo"/>
    <x:tableColumn id="5" name="Tarea"/>
    <x:tableColumn id="6" name="Sprint"/>
    <x:tableColumn id="7" name="Prioridad"/>
    <x:tableColumn id="8" name="Responsable"/>
    <x:tableColumn id="9" name="Estado"/>
  </x:tableColumns>
  <x:tableStyleInfo name="TableStyleMedium2" showFirstColumn="0" showLastColumn="0" showRowStripes="1" showColumnStripes="0"/>
</x:table>
</file>

<file path=xl/tables/table3.xml><?xml version="1.0" encoding="utf-8"?>
<x:table xmlns:x="http://schemas.openxmlformats.org/spreadsheetml/2006/main" id="3" name="DocumentMatrixTable" displayName="DocumentMatrixTable" ref="A4:K16" headerRowCount="1" totalsRowCount="0" totalsRowShown="0">
  <x:tableColumns count="11">
    <x:tableColumn id="1" name="ID"/>
    <x:tableColumn id="2" name="Etapa"/>
    <x:tableColumn id="3" name="Documento / registro"/>
    <x:tableColumn id="4" name="Responsable"/>
    <x:tableColumn id="5" name="Captura"/>
    <x:tableColumn id="6" name="Revisa / valida"/>
    <x:tableColumn id="7" name="Obligatorio"/>
    <x:tableColumn id="8" name="Bloquea"/>
    <x:tableColumn id="9" name="Estados"/>
    <x:tableColumn id="10" name="Validaciones clave"/>
    <x:tableColumn id="11" name="Fuente"/>
  </x:tableColumns>
  <x:tableStyleInfo name="TableStyleMedium2" showFirstColumn="0" showLastColumn="0" showRowStripes="1" showColumnStripes="0"/>
</x:table>
</file>

<file path=xl/tables/table4.xml><?xml version="1.0" encoding="utf-8"?>
<x:table xmlns:x="http://schemas.openxmlformats.org/spreadsheetml/2006/main" id="4" name="NonFunctionalRequirementsTable" displayName="NonFunctionalRequirementsTable" ref="A4:G12" headerRowCount="1" totalsRowCount="0" totalsRowShown="0">
  <x:tableColumns count="7">
    <x:tableColumn id="1" name="ID"/>
    <x:tableColumn id="2" name="Categoría"/>
    <x:tableColumn id="3" name="Requisito"/>
    <x:tableColumn id="4" name="Criterio verificable"/>
    <x:tableColumn id="5" name="Prioridad"/>
    <x:tableColumn id="6" name="Sprint"/>
    <x:tableColumn id="7" name="Fue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95cd953e6c4cbe" /></Relationships>
</file>

<file path=xl/worksheets/_rels/sheet3.xml.rels>&#65279;<?xml version="1.0" encoding="utf-8"?><Relationships xmlns="http://schemas.openxmlformats.org/package/2006/relationships"><Relationship Type="http://schemas.openxmlformats.org/officeDocument/2006/relationships/table" Target="/xl/tables/table2.xml" Id="R2e29286552484810" /></Relationships>
</file>

<file path=xl/worksheets/_rels/sheet4.xml.rels>&#65279;<?xml version="1.0" encoding="utf-8"?><Relationships xmlns="http://schemas.openxmlformats.org/package/2006/relationships"><Relationship Type="http://schemas.openxmlformats.org/officeDocument/2006/relationships/table" Target="/xl/tables/table3.xml" Id="R73323a6f45244bd1" /></Relationships>
</file>

<file path=xl/worksheets/_rels/sheet7.xml.rels>&#65279;<?xml version="1.0" encoding="utf-8"?><Relationships xmlns="http://schemas.openxmlformats.org/package/2006/relationships"><Relationship Type="http://schemas.openxmlformats.org/officeDocument/2006/relationships/table" Target="/xl/tables/table4.xml" Id="R7b5d2404fd164418"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42" hidden="0" customWidth="1"/>
    <x:col min="3" max="3" width="62"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34" customHeight="1">
      <x:c r="A1" s="99" t="str">
        <x:v>PRODUCT BACKLOG - SISTEMA DE PRÁCTICAS PREPROFESIONALES</x:v>
      </x:c>
      <x:c r="B1" s="99"/>
      <x:c r="C1" s="99"/>
      <x:c r="D1" s="99"/>
      <x:c r="E1" s="99"/>
      <x:c r="F1" s="99"/>
      <x:c r="G1" s="99"/>
      <x:c r="H1" s="99"/>
      <x:c r="I1" s="99"/>
      <x:c r="J1" s="99"/>
      <x:c r="K1" s="99"/>
      <x:c r="L1" s="99"/>
    </x:row>
    <x:row r="2" ht="30" customHeight="1">
      <x:c r="A2" s="100" t="str">
        <x:v>Alcance consolidado del MVP | Ingeniería de Sistemas - tres campus | Versión 1.0 - 2026-08-04</x:v>
      </x:c>
      <x:c r="B2" s="100"/>
      <x:c r="C2" s="100"/>
      <x:c r="D2" s="100"/>
      <x:c r="E2" s="100"/>
      <x:c r="F2" s="100"/>
      <x:c r="G2" s="100"/>
      <x:c r="H2" s="100"/>
      <x:c r="I2" s="100"/>
      <x:c r="J2" s="100"/>
      <x:c r="K2" s="100"/>
      <x:c r="L2" s="100"/>
    </x:row>
    <x:row r="3">
      <x:c r="A3" s="101"/>
      <x:c r="B3" s="101"/>
      <x:c r="C3" s="101"/>
      <x:c r="D3" s="101"/>
      <x:c r="E3" s="101"/>
      <x:c r="F3" s="101"/>
      <x:c r="G3" s="101"/>
      <x:c r="H3" s="101"/>
      <x:c r="I3" s="101"/>
      <x:c r="J3" s="101"/>
      <x:c r="K3" s="101"/>
      <x:c r="L3" s="101"/>
    </x:row>
    <x:row r="4">
      <x:c r="A4" s="102" t="str">
        <x:v>Historias MVP</x:v>
      </x:c>
      <x:c r="B4" s="102" t="str">
        <x:v>Story points</x:v>
      </x:c>
      <x:c r="C4" s="102" t="str">
        <x:v>Campus</x:v>
      </x:c>
      <x:c r="D4" s="102" t="str">
        <x:v>Story points</x:v>
      </x:c>
      <x:c r="E4" s="102"/>
      <x:c r="F4" s="102"/>
      <x:c r="G4" s="102" t="str">
        <x:v>Campus</x:v>
      </x:c>
      <x:c r="H4" s="102"/>
      <x:c r="I4" s="102"/>
      <x:c r="J4" s="102" t="str">
        <x:v>Estado del alcance</x:v>
      </x:c>
      <x:c r="K4" s="102"/>
      <x:c r="L4" s="102"/>
    </x:row>
    <x:row r="5">
      <x:c r="A5" s="103" t="n">
        <x:f>COUNTA('Product Backlog'!$A$5:$A$200)</x:f>
        <x:v>45</x:v>
      </x:c>
      <x:c r="B5" s="104"/>
      <x:c r="C5" s="105"/>
      <x:c r="D5" s="103" t="n">
        <x:f>SUM('Product Backlog'!$H$5:$H$200)</x:f>
        <x:v>240</x:v>
      </x:c>
      <x:c r="E5" s="104"/>
      <x:c r="F5" s="105"/>
      <x:c r="G5" s="103" t="n">
        <x:v>3</x:v>
      </x:c>
      <x:c r="H5" s="104"/>
      <x:c r="I5" s="105"/>
      <x:c r="J5" s="103" t="str">
        <x:v>CERRADO</x:v>
      </x:c>
      <x:c r="K5" s="104"/>
      <x:c r="L5" s="105"/>
    </x:row>
    <x:row r="6">
      <x:c r="A6" s="106"/>
      <x:c r="B6" s="107"/>
      <x:c r="C6" s="108"/>
      <x:c r="D6" s="106"/>
      <x:c r="E6" s="107"/>
      <x:c r="F6" s="108"/>
      <x:c r="G6" s="106"/>
      <x:c r="H6" s="107"/>
      <x:c r="I6" s="108"/>
      <x:c r="J6" s="106"/>
      <x:c r="K6" s="107"/>
      <x:c r="L6" s="108"/>
    </x:row>
    <x:row r="7">
      <x:c r="A7" s="109"/>
      <x:c r="B7" s="110"/>
      <x:c r="C7" s="111"/>
      <x:c r="D7" s="109"/>
      <x:c r="E7" s="110"/>
      <x:c r="F7" s="111"/>
      <x:c r="G7" s="109"/>
      <x:c r="H7" s="110"/>
      <x:c r="I7" s="111"/>
      <x:c r="J7" s="109"/>
      <x:c r="K7" s="110"/>
      <x:c r="L7" s="111"/>
    </x:row>
    <x:row r="8">
      <x:c r="A8" s="101"/>
      <x:c r="B8" s="101"/>
      <x:c r="C8" s="101"/>
      <x:c r="D8" s="101"/>
      <x:c r="E8" s="101"/>
      <x:c r="F8" s="101"/>
      <x:c r="G8" s="101"/>
      <x:c r="H8" s="101"/>
      <x:c r="I8" s="101"/>
      <x:c r="J8" s="101"/>
      <x:c r="K8" s="101"/>
      <x:c r="L8" s="101"/>
    </x:row>
    <x:row r="9" ht="26" customHeight="1">
      <x:c r="A9" s="112" t="str">
        <x:v>Plan propuesto de sprints</x:v>
      </x:c>
      <x:c r="B9" s="112"/>
      <x:c r="C9" s="112"/>
      <x:c r="D9" s="112"/>
      <x:c r="E9" s="112"/>
      <x:c r="F9" s="112"/>
      <x:c r="G9" s="112"/>
      <x:c r="H9" s="112"/>
      <x:c r="I9" s="112"/>
      <x:c r="J9" s="112"/>
      <x:c r="K9" s="112"/>
      <x:c r="L9" s="112"/>
    </x:row>
    <x:row r="10" ht="32" customHeight="1">
      <x:c r="A10" s="113" t="str">
        <x:v>Sprint</x:v>
      </x:c>
      <x:c r="B10" s="113" t="str">
        <x:v>Enfoque</x:v>
      </x:c>
      <x:c r="C10" s="113" t="str">
        <x:v>Historias</x:v>
      </x:c>
      <x:c r="D10" s="113" t="str">
        <x:v>Story points</x:v>
      </x:c>
      <x:c r="E10" s="101"/>
      <x:c r="F10" s="101"/>
      <x:c r="G10" s="101"/>
      <x:c r="H10" s="101"/>
      <x:c r="I10" s="101"/>
      <x:c r="J10" s="101"/>
      <x:c r="K10" s="101"/>
      <x:c r="L10" s="101"/>
    </x:row>
    <x:row r="11">
      <x:c r="A11" s="114" t="str">
        <x:v>S0</x:v>
      </x:c>
      <x:c r="B11" s="115" t="str">
        <x:v>Fundamentos, acceso y seguridad base</x:v>
      </x:c>
      <x:c r="C11" s="116" t="n">
        <x:f>COUNTIF('Product Backlog'!$I$5:$I$200,A11)</x:f>
        <x:v>3</x:v>
      </x:c>
      <x:c r="D11" s="117" t="n">
        <x:f>SUMIF('Product Backlog'!$I$5:$I$200,A11,'Product Backlog'!$H$5:$H$200)</x:f>
        <x:v>21</x:v>
      </x:c>
      <x:c r="E11" s="101"/>
      <x:c r="F11" s="101"/>
      <x:c r="G11" s="101"/>
      <x:c r="H11" s="101"/>
      <x:c r="I11" s="101"/>
      <x:c r="J11" s="101"/>
      <x:c r="K11" s="101"/>
      <x:c r="L11" s="101"/>
    </x:row>
    <x:row r="12">
      <x:c r="A12" s="114" t="str">
        <x:v>S1</x:v>
      </x:c>
      <x:c r="B12" s="118" t="str">
        <x:v>Carta de presentación y Secretaría</x:v>
      </x:c>
      <x:c r="C12" s="119" t="n">
        <x:f>COUNTIF('Product Backlog'!$I$5:$I$200,A12)</x:f>
        <x:v>6</x:v>
      </x:c>
      <x:c r="D12" s="120" t="n">
        <x:f>SUMIF('Product Backlog'!$I$5:$I$200,A12,'Product Backlog'!$H$5:$H$200)</x:f>
        <x:v>27</x:v>
      </x:c>
      <x:c r="E12" s="101"/>
      <x:c r="F12" s="101"/>
      <x:c r="G12" s="101"/>
      <x:c r="H12" s="101"/>
      <x:c r="I12" s="101"/>
      <x:c r="J12" s="101"/>
      <x:c r="K12" s="101"/>
      <x:c r="L12" s="101"/>
    </x:row>
    <x:row r="13">
      <x:c r="A13" s="114" t="str">
        <x:v>S2</x:v>
      </x:c>
      <x:c r="B13" s="118" t="str">
        <x:v>Empresa, práctica, checklist y autorización</x:v>
      </x:c>
      <x:c r="C13" s="119" t="n">
        <x:f>COUNTIF('Product Backlog'!$I$5:$I$200,A13)</x:f>
        <x:v>5</x:v>
      </x:c>
      <x:c r="D13" s="120" t="n">
        <x:f>SUMIF('Product Backlog'!$I$5:$I$200,A13,'Product Backlog'!$H$5:$H$200)</x:f>
        <x:v>28</x:v>
      </x:c>
      <x:c r="E13" s="101"/>
      <x:c r="F13" s="101"/>
      <x:c r="G13" s="101"/>
      <x:c r="H13" s="101"/>
      <x:c r="I13" s="101"/>
      <x:c r="J13" s="101"/>
      <x:c r="K13" s="101"/>
      <x:c r="L13" s="101"/>
    </x:row>
    <x:row r="14">
      <x:c r="A14" s="114" t="str">
        <x:v>S3</x:v>
      </x:c>
      <x:c r="B14" s="118" t="str">
        <x:v>Documentos, versiones y excepciones</x:v>
      </x:c>
      <x:c r="C14" s="119" t="n">
        <x:f>COUNTIF('Product Backlog'!$I$5:$I$200,A14)</x:f>
        <x:v>5</x:v>
      </x:c>
      <x:c r="D14" s="120" t="n">
        <x:f>SUMIF('Product Backlog'!$I$5:$I$200,A14,'Product Backlog'!$H$5:$H$200)</x:f>
        <x:v>28</x:v>
      </x:c>
      <x:c r="E14" s="101"/>
      <x:c r="F14" s="101"/>
      <x:c r="G14" s="101"/>
      <x:c r="H14" s="101"/>
      <x:c r="I14" s="101"/>
      <x:c r="J14" s="101"/>
      <x:c r="K14" s="101"/>
      <x:c r="L14" s="101"/>
    </x:row>
    <x:row r="15">
      <x:c r="A15" s="114" t="str">
        <x:v>S4</x:v>
      </x:c>
      <x:c r="B15" s="118" t="str">
        <x:v>Docentes, horas y supervisiones</x:v>
      </x:c>
      <x:c r="C15" s="119" t="n">
        <x:f>COUNTIF('Product Backlog'!$I$5:$I$200,A15)</x:f>
        <x:v>8</x:v>
      </x:c>
      <x:c r="D15" s="120" t="n">
        <x:f>SUMIF('Product Backlog'!$I$5:$I$200,A15,'Product Backlog'!$H$5:$H$200)</x:f>
        <x:v>34</x:v>
      </x:c>
      <x:c r="E15" s="101"/>
      <x:c r="F15" s="101"/>
      <x:c r="G15" s="101"/>
      <x:c r="H15" s="101"/>
      <x:c r="I15" s="101"/>
      <x:c r="J15" s="101"/>
      <x:c r="K15" s="101"/>
      <x:c r="L15" s="101"/>
    </x:row>
    <x:row r="16">
      <x:c r="A16" s="114" t="str">
        <x:v>S5</x:v>
      </x:c>
      <x:c r="B16" s="118" t="str">
        <x:v>Evaluaciones</x:v>
      </x:c>
      <x:c r="C16" s="119" t="n">
        <x:f>COUNTIF('Product Backlog'!$I$5:$I$200,A16)</x:f>
        <x:v>4</x:v>
      </x:c>
      <x:c r="D16" s="120" t="n">
        <x:f>SUMIF('Product Backlog'!$I$5:$I$200,A16,'Product Backlog'!$H$5:$H$200)</x:f>
        <x:v>21</x:v>
      </x:c>
      <x:c r="E16" s="101"/>
      <x:c r="F16" s="101"/>
      <x:c r="G16" s="101"/>
      <x:c r="H16" s="101"/>
      <x:c r="I16" s="101"/>
      <x:c r="J16" s="101"/>
      <x:c r="K16" s="101"/>
      <x:c r="L16" s="101"/>
    </x:row>
    <x:row r="17">
      <x:c r="A17" s="114" t="str">
        <x:v>S6</x:v>
      </x:c>
      <x:c r="B17" s="118" t="str">
        <x:v>Cierre y reconocimiento</x:v>
      </x:c>
      <x:c r="C17" s="119" t="n">
        <x:f>COUNTIF('Product Backlog'!$I$5:$I$200,A17)</x:f>
        <x:v>6</x:v>
      </x:c>
      <x:c r="D17" s="120" t="n">
        <x:f>SUMIF('Product Backlog'!$I$5:$I$200,A17,'Product Backlog'!$H$5:$H$200)</x:f>
        <x:v>29</x:v>
      </x:c>
      <x:c r="E17" s="101"/>
      <x:c r="F17" s="101"/>
      <x:c r="G17" s="101"/>
      <x:c r="H17" s="101"/>
      <x:c r="I17" s="101"/>
      <x:c r="J17" s="101"/>
      <x:c r="K17" s="101"/>
      <x:c r="L17" s="101"/>
    </x:row>
    <x:row r="18">
      <x:c r="A18" s="114" t="str">
        <x:v>S7</x:v>
      </x:c>
      <x:c r="B18" s="118" t="str">
        <x:v>Dashboards, reportes, auditoría y migración</x:v>
      </x:c>
      <x:c r="C18" s="119" t="n">
        <x:f>COUNTIF('Product Backlog'!$I$5:$I$200,A18)</x:f>
        <x:v>8</x:v>
      </x:c>
      <x:c r="D18" s="120" t="n">
        <x:f>SUMIF('Product Backlog'!$I$5:$I$200,A18,'Product Backlog'!$H$5:$H$200)</x:f>
        <x:v>52</x:v>
      </x:c>
      <x:c r="E18" s="101"/>
      <x:c r="F18" s="101"/>
      <x:c r="G18" s="101"/>
      <x:c r="H18" s="101"/>
      <x:c r="I18" s="101"/>
      <x:c r="J18" s="101"/>
      <x:c r="K18" s="101"/>
      <x:c r="L18" s="101"/>
    </x:row>
    <x:row r="19">
      <x:c r="A19" s="101"/>
      <x:c r="B19" s="101"/>
      <x:c r="C19" s="101"/>
      <x:c r="D19" s="101"/>
      <x:c r="E19" s="101"/>
      <x:c r="F19" s="101"/>
      <x:c r="G19" s="101"/>
      <x:c r="H19" s="101"/>
      <x:c r="I19" s="101"/>
      <x:c r="J19" s="101"/>
      <x:c r="K19" s="101"/>
      <x:c r="L19" s="101"/>
    </x:row>
    <x:row r="20" ht="26" customHeight="1">
      <x:c r="A20" s="112" t="str">
        <x:v>Alcance funcional y límites del MVP</x:v>
      </x:c>
      <x:c r="B20" s="112"/>
      <x:c r="C20" s="112"/>
      <x:c r="D20" s="112"/>
      <x:c r="E20" s="112"/>
      <x:c r="F20" s="112"/>
      <x:c r="G20" s="112"/>
      <x:c r="H20" s="112"/>
      <x:c r="I20" s="112"/>
      <x:c r="J20" s="112"/>
      <x:c r="K20" s="112"/>
      <x:c r="L20" s="112"/>
    </x:row>
    <x:row r="21" ht="32" customHeight="1">
      <x:c r="A21" s="113" t="str">
        <x:v>Clasificación</x:v>
      </x:c>
      <x:c r="B21" s="113" t="str">
        <x:v>Elemento</x:v>
      </x:c>
      <x:c r="C21" s="113" t="str">
        <x:v>Decisión</x:v>
      </x:c>
      <x:c r="D21" s="101"/>
      <x:c r="E21" s="101"/>
      <x:c r="F21" s="101"/>
      <x:c r="G21" s="101"/>
      <x:c r="H21" s="101"/>
      <x:c r="I21" s="101"/>
      <x:c r="J21" s="101"/>
      <x:c r="K21" s="101"/>
      <x:c r="L21" s="101"/>
    </x:row>
    <x:row r="22">
      <x:c r="A22" s="121" t="str">
        <x:v>Incluido</x:v>
      </x:c>
      <x:c r="B22" s="122" t="str">
        <x:v>Web responsive</x:v>
      </x:c>
      <x:c r="C22" s="123" t="str">
        <x:v>Un solo sistema para computadora y navegador móvil; sin app nativa.</x:v>
      </x:c>
      <x:c r="D22" s="101"/>
      <x:c r="E22" s="101"/>
      <x:c r="F22" s="101"/>
      <x:c r="G22" s="101"/>
      <x:c r="H22" s="101"/>
      <x:c r="I22" s="101"/>
      <x:c r="J22" s="101"/>
      <x:c r="K22" s="101"/>
      <x:c r="L22" s="101"/>
    </x:row>
    <x:row r="23">
      <x:c r="A23" s="124" t="str">
        <x:v>Incluido</x:v>
      </x:c>
      <x:c r="B23" s="125" t="str">
        <x:v>Tres campus - Ingeniería de Sistemas</x:v>
      </x:c>
      <x:c r="C23" s="126" t="str">
        <x:v>Datos segregados por campus y consolidados para auditoría.</x:v>
      </x:c>
      <x:c r="D23" s="101"/>
      <x:c r="E23" s="101"/>
      <x:c r="F23" s="101"/>
      <x:c r="G23" s="101"/>
      <x:c r="H23" s="101"/>
      <x:c r="I23" s="101"/>
      <x:c r="J23" s="101"/>
      <x:c r="K23" s="101"/>
      <x:c r="L23" s="101"/>
    </x:row>
    <x:row r="24">
      <x:c r="A24" s="124" t="str">
        <x:v>Incluido</x:v>
      </x:c>
      <x:c r="B24" s="125" t="str">
        <x:v>Correo institucional</x:v>
      </x:c>
      <x:c r="C24" s="126" t="str">
        <x:v>Identidad institucional sin dependencia actual de Lamb Academic.</x:v>
      </x:c>
      <x:c r="D24" s="101"/>
      <x:c r="E24" s="101"/>
      <x:c r="F24" s="101"/>
      <x:c r="G24" s="101"/>
      <x:c r="H24" s="101"/>
      <x:c r="I24" s="101"/>
      <x:c r="J24" s="101"/>
      <x:c r="K24" s="101"/>
      <x:c r="L24" s="101"/>
    </x:row>
    <x:row r="25">
      <x:c r="A25" s="124" t="str">
        <x:v>Incluido</x:v>
      </x:c>
      <x:c r="B25" s="125" t="str">
        <x:v>Secretaría</x:v>
      </x:c>
      <x:c r="C25" s="126" t="str">
        <x:v>Cuenta y flujo completo de carta de presentación generada desde plantilla.</x:v>
      </x:c>
      <x:c r="D25" s="101"/>
      <x:c r="E25" s="101"/>
      <x:c r="F25" s="101"/>
      <x:c r="G25" s="101"/>
      <x:c r="H25" s="101"/>
      <x:c r="I25" s="101"/>
      <x:c r="J25" s="101"/>
      <x:c r="K25" s="101"/>
      <x:c r="L25" s="101"/>
    </x:row>
    <x:row r="26">
      <x:c r="A26" s="124" t="str">
        <x:v>Incluido</x:v>
      </x:c>
      <x:c r="B26" s="125" t="str">
        <x:v>Expedientes múltiples</x:v>
      </x:c>
      <x:c r="C26" s="126" t="str">
        <x:v>Una práctica por expediente y horas acumuladas por estudiante.</x:v>
      </x:c>
      <x:c r="D26" s="101"/>
      <x:c r="E26" s="101"/>
      <x:c r="F26" s="101"/>
      <x:c r="G26" s="101"/>
      <x:c r="H26" s="101"/>
      <x:c r="I26" s="101"/>
      <x:c r="J26" s="101"/>
      <x:c r="K26" s="101"/>
      <x:c r="L26" s="101"/>
    </x:row>
    <x:row r="27">
      <x:c r="A27" s="124" t="str">
        <x:v>Incluido</x:v>
      </x:c>
      <x:c r="B27" s="125" t="str">
        <x:v>Documentos y versiones</x:v>
      </x:c>
      <x:c r="C27" s="126" t="str">
        <x:v>Carga PDF, validación técnica básica, revisión humana, comentarios e historial.</x:v>
      </x:c>
      <x:c r="D27" s="101"/>
      <x:c r="E27" s="101"/>
      <x:c r="F27" s="101"/>
      <x:c r="G27" s="101"/>
      <x:c r="H27" s="101"/>
      <x:c r="I27" s="101"/>
      <x:c r="J27" s="101"/>
      <x:c r="K27" s="101"/>
      <x:c r="L27" s="101"/>
    </x:row>
    <x:row r="28">
      <x:c r="A28" s="124" t="str">
        <x:v>Incluido</x:v>
      </x:c>
      <x:c r="B28" s="125" t="str">
        <x:v>Seguimiento</x:v>
      </x:c>
      <x:c r="C28" s="126" t="str">
        <x:v>Horas, actividades, supervisiones y evaluaciones con instrumentos actuales.</x:v>
      </x:c>
      <x:c r="D28" s="101"/>
      <x:c r="E28" s="101"/>
      <x:c r="F28" s="101"/>
      <x:c r="G28" s="101"/>
      <x:c r="H28" s="101"/>
      <x:c r="I28" s="101"/>
      <x:c r="J28" s="101"/>
      <x:c r="K28" s="101"/>
      <x:c r="L28" s="101"/>
    </x:row>
    <x:row r="29">
      <x:c r="A29" s="124" t="str">
        <x:v>Incluido</x:v>
      </x:c>
      <x:c r="B29" s="125" t="str">
        <x:v>Cierre</x:v>
      </x:c>
      <x:c r="C29" s="126" t="str">
        <x:v>Checklist, cierre por práctica, cumplimiento PPP y adjunto del documento individual final.</x:v>
      </x:c>
      <x:c r="D29" s="101"/>
      <x:c r="E29" s="101"/>
      <x:c r="F29" s="101"/>
      <x:c r="G29" s="101"/>
      <x:c r="H29" s="101"/>
      <x:c r="I29" s="101"/>
      <x:c r="J29" s="101"/>
      <x:c r="K29" s="101"/>
      <x:c r="L29" s="101"/>
    </x:row>
    <x:row r="30">
      <x:c r="A30" s="124" t="str">
        <x:v>Incluido</x:v>
      </x:c>
      <x:c r="B30" s="125" t="str">
        <x:v>Auditor institucional</x:v>
      </x:c>
      <x:c r="C30" s="126" t="str">
        <x:v>Dashboard y consulta de tres campus en solo lectura.</x:v>
      </x:c>
      <x:c r="D30" s="101"/>
      <x:c r="E30" s="101"/>
      <x:c r="F30" s="101"/>
      <x:c r="G30" s="101"/>
      <x:c r="H30" s="101"/>
      <x:c r="I30" s="101"/>
      <x:c r="J30" s="101"/>
      <x:c r="K30" s="101"/>
      <x:c r="L30" s="101"/>
    </x:row>
    <x:row r="31">
      <x:c r="A31" s="124" t="str">
        <x:v>Preparado</x:v>
      </x:c>
      <x:c r="B31" s="125" t="str">
        <x:v>Otras escuelas</x:v>
      </x:c>
      <x:c r="C31" s="126" t="str">
        <x:v>Modelo configurable, pero sin activar otras escuelas en la primera versión.</x:v>
      </x:c>
      <x:c r="D31" s="101"/>
      <x:c r="E31" s="101"/>
      <x:c r="F31" s="101"/>
      <x:c r="G31" s="101"/>
      <x:c r="H31" s="101"/>
      <x:c r="I31" s="101"/>
      <x:c r="J31" s="101"/>
      <x:c r="K31" s="101"/>
      <x:c r="L31" s="101"/>
    </x:row>
    <x:row r="32">
      <x:c r="A32" s="124" t="str">
        <x:v>Preparado</x:v>
      </x:c>
      <x:c r="B32" s="125" t="str">
        <x:v>API de elegibilidad</x:v>
      </x:c>
      <x:c r="C32" s="126" t="str">
        <x:v>Punto de integración futuro, sin validación del curso en el MVP.</x:v>
      </x:c>
      <x:c r="D32" s="101"/>
      <x:c r="E32" s="101"/>
      <x:c r="F32" s="101"/>
      <x:c r="G32" s="101"/>
      <x:c r="H32" s="101"/>
      <x:c r="I32" s="101"/>
      <x:c r="J32" s="101"/>
      <x:c r="K32" s="101"/>
      <x:c r="L32" s="101"/>
    </x:row>
    <x:row r="33">
      <x:c r="A33" s="124" t="str">
        <x:v>Fuera</x:v>
      </x:c>
      <x:c r="B33" s="125" t="str">
        <x:v>Lamb Academic</x:v>
      </x:c>
      <x:c r="C33" s="126" t="str">
        <x:v>No se consulta ni sincroniza en la primera versión.</x:v>
      </x:c>
      <x:c r="D33" s="101"/>
      <x:c r="E33" s="101"/>
      <x:c r="F33" s="101"/>
      <x:c r="G33" s="101"/>
      <x:c r="H33" s="101"/>
      <x:c r="I33" s="101"/>
      <x:c r="J33" s="101"/>
      <x:c r="K33" s="101"/>
      <x:c r="L33" s="101"/>
    </x:row>
    <x:row r="34">
      <x:c r="A34" s="124" t="str">
        <x:v>Fuera</x:v>
      </x:c>
      <x:c r="B34" s="125" t="str">
        <x:v>Empresa con cuenta</x:v>
      </x:c>
      <x:c r="C34" s="126" t="str">
        <x:v>La empresa participa mediante documentos firmados externamente.</x:v>
      </x:c>
      <x:c r="D34" s="101"/>
      <x:c r="E34" s="101"/>
      <x:c r="F34" s="101"/>
      <x:c r="G34" s="101"/>
      <x:c r="H34" s="101"/>
      <x:c r="I34" s="101"/>
      <x:c r="J34" s="101"/>
      <x:c r="K34" s="101"/>
      <x:c r="L34" s="101"/>
    </x:row>
    <x:row r="35">
      <x:c r="A35" s="124" t="str">
        <x:v>Fuera</x:v>
      </x:c>
      <x:c r="B35" s="125" t="str">
        <x:v>Consejo y actas</x:v>
      </x:c>
      <x:c r="C35" s="126" t="str">
        <x:v>No se gestionan sesiones, actas, agendas o resoluciones generales.</x:v>
      </x:c>
      <x:c r="D35" s="101"/>
      <x:c r="E35" s="101"/>
      <x:c r="F35" s="101"/>
      <x:c r="G35" s="101"/>
      <x:c r="H35" s="101"/>
      <x:c r="I35" s="101"/>
      <x:c r="J35" s="101"/>
      <x:c r="K35" s="101"/>
      <x:c r="L35" s="101"/>
    </x:row>
    <x:row r="36">
      <x:c r="A36" s="124" t="str">
        <x:v>Fuera</x:v>
      </x:c>
      <x:c r="B36" s="125" t="str">
        <x:v>Aplicación móvil/WhatsApp</x:v>
      </x:c>
      <x:c r="C36" s="126" t="str">
        <x:v>No hay app nativa ni automatización por WhatsApp.</x:v>
      </x:c>
      <x:c r="D36" s="101"/>
      <x:c r="E36" s="101"/>
      <x:c r="F36" s="101"/>
      <x:c r="G36" s="101"/>
      <x:c r="H36" s="101"/>
      <x:c r="I36" s="101"/>
      <x:c r="J36" s="101"/>
      <x:c r="K36" s="101"/>
      <x:c r="L36" s="101"/>
    </x:row>
    <x:row r="37">
      <x:c r="A37" s="124" t="str">
        <x:v>Fuera</x:v>
      </x:c>
      <x:c r="B37" s="125" t="str">
        <x:v>Biometría/geolocalización</x:v>
      </x:c>
      <x:c r="C37" s="126" t="str">
        <x:v>No se recopilan estos datos.</x:v>
      </x:c>
      <x:c r="D37" s="101"/>
      <x:c r="E37" s="101"/>
      <x:c r="F37" s="101"/>
      <x:c r="G37" s="101"/>
      <x:c r="H37" s="101"/>
      <x:c r="I37" s="101"/>
      <x:c r="J37" s="101"/>
      <x:c r="K37" s="101"/>
      <x:c r="L37" s="101"/>
    </x:row>
    <x:row r="38">
      <x:c r="A38" s="124" t="str">
        <x:v>Fuera</x:v>
      </x:c>
      <x:c r="B38" s="125" t="str">
        <x:v>Infraestructura institucional</x:v>
      </x:c>
      <x:c r="C38" s="126" t="str">
        <x:v>Se define después sin ampliar funciones del producto.</x:v>
      </x:c>
      <x:c r="D38" s="101"/>
      <x:c r="E38" s="101"/>
      <x:c r="F38" s="101"/>
      <x:c r="G38" s="101"/>
      <x:c r="H38" s="101"/>
      <x:c r="I38" s="101"/>
      <x:c r="J38" s="101"/>
      <x:c r="K38" s="101"/>
      <x:c r="L38" s="101"/>
    </x:row>
    <x:row r="39">
      <x:c r="A39" s="101"/>
      <x:c r="B39" s="101"/>
      <x:c r="C39" s="101"/>
      <x:c r="D39" s="101"/>
      <x:c r="E39" s="101"/>
      <x:c r="F39" s="101"/>
      <x:c r="G39" s="101"/>
      <x:c r="H39" s="101"/>
      <x:c r="I39" s="101"/>
      <x:c r="J39" s="101"/>
      <x:c r="K39" s="101"/>
      <x:c r="L39" s="101"/>
    </x:row>
    <x:row r="40" ht="26" customHeight="1">
      <x:c r="A40" s="112" t="str">
        <x:v>Criterios para considerar terminado el MVP</x:v>
      </x:c>
      <x:c r="B40" s="112"/>
      <x:c r="C40" s="112"/>
      <x:c r="D40" s="112"/>
      <x:c r="E40" s="112"/>
      <x:c r="F40" s="112"/>
      <x:c r="G40" s="112"/>
      <x:c r="H40" s="112"/>
      <x:c r="I40" s="112"/>
      <x:c r="J40" s="112"/>
      <x:c r="K40" s="112"/>
      <x:c r="L40" s="112"/>
    </x:row>
    <x:row r="41" ht="32" customHeight="1">
      <x:c r="A41" s="113" t="str">
        <x:v>N°</x:v>
      </x:c>
      <x:c r="B41" s="113" t="str">
        <x:v>Criterio de aceptación global</x:v>
      </x:c>
      <x:c r="C41" s="101"/>
      <x:c r="D41" s="101"/>
      <x:c r="E41" s="101"/>
      <x:c r="F41" s="101"/>
      <x:c r="G41" s="101"/>
      <x:c r="H41" s="101"/>
      <x:c r="I41" s="101"/>
      <x:c r="J41" s="101"/>
      <x:c r="K41" s="101"/>
      <x:c r="L41" s="101"/>
    </x:row>
    <x:row r="42">
      <x:c r="A42" s="127" t="str">
        <x:v>1</x:v>
      </x:c>
      <x:c r="B42" s="128" t="str">
        <x:v>Los cinco roles operan con aislamiento correcto por campus/asignación.</x:v>
      </x:c>
      <x:c r="C42" s="101"/>
      <x:c r="D42" s="101"/>
      <x:c r="E42" s="101"/>
      <x:c r="F42" s="101"/>
      <x:c r="G42" s="101"/>
      <x:c r="H42" s="101"/>
      <x:c r="I42" s="101"/>
      <x:c r="J42" s="101"/>
      <x:c r="K42" s="101"/>
      <x:c r="L42" s="101"/>
    </x:row>
    <x:row r="43">
      <x:c r="A43" s="129" t="str">
        <x:v>2</x:v>
      </x:c>
      <x:c r="B43" s="130" t="str">
        <x:v>La carta se solicita, genera, observa, corrige, aprueba y descarga dentro del sistema.</x:v>
      </x:c>
      <x:c r="C43" s="101"/>
      <x:c r="D43" s="101"/>
      <x:c r="E43" s="101"/>
      <x:c r="F43" s="101"/>
      <x:c r="G43" s="101"/>
      <x:c r="H43" s="101"/>
      <x:c r="I43" s="101"/>
      <x:c r="J43" s="101"/>
      <x:c r="K43" s="101"/>
      <x:c r="L43" s="101"/>
    </x:row>
    <x:row r="44">
      <x:c r="A44" s="129" t="str">
        <x:v>3</x:v>
      </x:c>
      <x:c r="B44" s="130" t="str">
        <x:v>Un estudiante puede gestionar varias prácticas sin mezclar expedientes y con horas consolidadas.</x:v>
      </x:c>
      <x:c r="C44" s="101"/>
      <x:c r="D44" s="101"/>
      <x:c r="E44" s="101"/>
      <x:c r="F44" s="101"/>
      <x:c r="G44" s="101"/>
      <x:c r="H44" s="101"/>
      <x:c r="I44" s="101"/>
      <x:c r="J44" s="101"/>
      <x:c r="K44" s="101"/>
      <x:c r="L44" s="101"/>
    </x:row>
    <x:row r="45">
      <x:c r="A45" s="129" t="str">
        <x:v>4</x:v>
      </x:c>
      <x:c r="B45" s="130" t="str">
        <x:v>Documentos, horas, supervisiones y evaluaciones conservan estados, comentarios, versiones y auditoría.</x:v>
      </x:c>
      <x:c r="C45" s="101"/>
      <x:c r="D45" s="101"/>
      <x:c r="E45" s="101"/>
      <x:c r="F45" s="101"/>
      <x:c r="G45" s="101"/>
      <x:c r="H45" s="101"/>
      <x:c r="I45" s="101"/>
      <x:c r="J45" s="101"/>
      <x:c r="K45" s="101"/>
      <x:c r="L45" s="101"/>
    </x:row>
    <x:row r="46">
      <x:c r="A46" s="129" t="str">
        <x:v>5</x:v>
      </x:c>
      <x:c r="B46" s="130" t="str">
        <x:v>El coordinador puede autorizar, monitorear, cerrar prácticas y registrar el reconocimiento individual.</x:v>
      </x:c>
      <x:c r="C46" s="101"/>
      <x:c r="D46" s="101"/>
      <x:c r="E46" s="101"/>
      <x:c r="F46" s="101"/>
      <x:c r="G46" s="101"/>
      <x:c r="H46" s="101"/>
      <x:c r="I46" s="101"/>
      <x:c r="J46" s="101"/>
      <x:c r="K46" s="101"/>
      <x:c r="L46" s="101"/>
    </x:row>
    <x:row r="47">
      <x:c r="A47" s="129" t="str">
        <x:v>6</x:v>
      </x:c>
      <x:c r="B47" s="130" t="str">
        <x:v>El auditor consulta los tres campus en modo de solo lectura.</x:v>
      </x:c>
      <x:c r="C47" s="101"/>
      <x:c r="D47" s="101"/>
      <x:c r="E47" s="101"/>
      <x:c r="F47" s="101"/>
      <x:c r="G47" s="101"/>
      <x:c r="H47" s="101"/>
      <x:c r="I47" s="101"/>
      <x:c r="J47" s="101"/>
      <x:c r="K47" s="101"/>
      <x:c r="L47" s="101"/>
    </x:row>
    <x:row r="48">
      <x:c r="A48" s="129" t="str">
        <x:v>7</x:v>
      </x:c>
      <x:c r="B48" s="130" t="str">
        <x:v>Los reportes y totales se reconcilian con el detalle de los expedientes.</x:v>
      </x:c>
      <x:c r="C48" s="101"/>
      <x:c r="D48" s="101"/>
      <x:c r="E48" s="101"/>
      <x:c r="F48" s="101"/>
      <x:c r="G48" s="101"/>
      <x:c r="H48" s="101"/>
      <x:c r="I48" s="101"/>
      <x:c r="J48" s="101"/>
      <x:c r="K48" s="101"/>
      <x:c r="L48" s="101"/>
    </x:row>
  </x:sheetData>
  <x:mergeCells>
    <x:mergeCell ref="A1:L1"/>
    <x:mergeCell ref="A2:L2"/>
    <x:mergeCell ref="A4:C4"/>
    <x:mergeCell ref="D4:F4"/>
    <x:mergeCell ref="G4:I4"/>
    <x:mergeCell ref="J4:L4"/>
    <x:mergeCell ref="A5:C7"/>
    <x:mergeCell ref="D5:F7"/>
    <x:mergeCell ref="G5:I7"/>
    <x:mergeCell ref="J5:L7"/>
    <x:mergeCell ref="A9:L9"/>
    <x:mergeCell ref="A20:L20"/>
    <x:mergeCell ref="A40:L40"/>
  </x:mergeCells>
  <x:conditionalFormatting sqref="A22:A38">
    <x:cfRule type="containsText" dxfId="0" priority="1" operator="containsText" text="Incluido"/>
    <x:cfRule type="containsText" dxfId="1" priority="2" operator="containsText" text="Preparado"/>
    <x:cfRule type="containsText" dxfId="2" priority="3" operator="containsText" text="Fuera"/>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9" hidden="0" customWidth="1"/>
    <x:col min="3" max="3" width="23" hidden="0" customWidth="1"/>
    <x:col min="4" max="4" width="39" hidden="0" customWidth="1"/>
    <x:col min="5" max="5" width="39" hidden="0" customWidth="1"/>
    <x:col min="6" max="6" width="72" hidden="0" customWidth="1"/>
    <x:col min="7" max="7" width="12" hidden="0" customWidth="1"/>
    <x:col min="8" max="8" width="8" hidden="0" customWidth="1"/>
    <x:col min="9" max="9" width="10" hidden="0" customWidth="1"/>
    <x:col min="10" max="10" width="15" hidden="0" customWidth="1"/>
    <x:col min="11" max="11" width="24" hidden="0" customWidth="1"/>
    <x:col min="12" max="12" width="24" hidden="0" customWidth="1"/>
  </x:cols>
  <x:sheetData>
    <x:row r="1" ht="34" customHeight="1">
      <x:c r="A1" s="99" t="str">
        <x:v>PRODUCT BACKLOG DEL MVP</x:v>
      </x:c>
      <x:c r="B1" s="99"/>
      <x:c r="C1" s="99"/>
      <x:c r="D1" s="99"/>
      <x:c r="E1" s="99"/>
      <x:c r="F1" s="99"/>
      <x:c r="G1" s="99"/>
      <x:c r="H1" s="99"/>
      <x:c r="I1" s="99"/>
      <x:c r="J1" s="99"/>
      <x:c r="K1" s="99"/>
      <x:c r="L1" s="99"/>
    </x:row>
    <x:row r="2" ht="30" customHeight="1">
      <x:c r="A2" s="100" t="str">
        <x:v>Historias derivadas del proceso real y de las decisiones de alcance. Los sprints son una propuesta inicial y pueden recalibrarse con la velocidad del equipo.</x:v>
      </x:c>
      <x:c r="B2" s="100"/>
      <x:c r="C2" s="100"/>
      <x:c r="D2" s="100"/>
      <x:c r="E2" s="100"/>
      <x:c r="F2" s="100"/>
      <x:c r="G2" s="100"/>
      <x:c r="H2" s="100"/>
      <x:c r="I2" s="100"/>
      <x:c r="J2" s="100"/>
      <x:c r="K2" s="100"/>
      <x:c r="L2" s="100"/>
    </x:row>
    <x:row r="3">
      <x:c r="A3" s="101"/>
      <x:c r="B3" s="101"/>
      <x:c r="C3" s="101"/>
      <x:c r="D3" s="101"/>
      <x:c r="E3" s="101"/>
      <x:c r="F3" s="101"/>
      <x:c r="G3" s="101"/>
      <x:c r="H3" s="101"/>
      <x:c r="I3" s="101"/>
      <x:c r="J3" s="101"/>
      <x:c r="K3" s="101"/>
      <x:c r="L3" s="101"/>
    </x:row>
    <x:row r="4" ht="32" customHeight="1">
      <x:c r="A4" s="113" t="str">
        <x:v>ID</x:v>
      </x:c>
      <x:c r="B4" s="113" t="str">
        <x:v>Épica</x:v>
      </x:c>
      <x:c r="C4" s="113" t="str">
        <x:v>Como</x:v>
      </x:c>
      <x:c r="D4" s="113" t="str">
        <x:v>Quiero</x:v>
      </x:c>
      <x:c r="E4" s="113" t="str">
        <x:v>Para</x:v>
      </x:c>
      <x:c r="F4" s="113" t="str">
        <x:v>Criterios de aceptación</x:v>
      </x:c>
      <x:c r="G4" s="113" t="str">
        <x:v>Prioridad</x:v>
      </x:c>
      <x:c r="H4" s="113" t="str">
        <x:v>SP</x:v>
      </x:c>
      <x:c r="I4" s="113" t="str">
        <x:v>Sprint</x:v>
      </x:c>
      <x:c r="J4" s="113" t="str">
        <x:v>Estado</x:v>
      </x:c>
      <x:c r="K4" s="113" t="str">
        <x:v>Dependencias</x:v>
      </x:c>
      <x:c r="L4" s="113" t="str">
        <x:v>Fuente</x:v>
      </x:c>
    </x:row>
    <x:row r="5" ht="84" customHeight="1">
      <x:c r="A5" s="144" t="str">
        <x:v>HU-01</x:v>
      </x:c>
      <x:c r="B5" s="145" t="str">
        <x:v>Acceso y estructura institucional</x:v>
      </x:c>
      <x:c r="C5" s="122" t="str">
        <x:v>Usuario institucional</x:v>
      </x:c>
      <x:c r="D5" s="122" t="str">
        <x:v>iniciar sesión con mi correo institucional</x:v>
      </x:c>
      <x:c r="E5" s="122" t="str">
        <x:v>acceder al sistema con una identidad universitaria verificable</x:v>
      </x:c>
      <x:c r="F5" s="122" t="str">
        <x:v>1) Solo se aceptan dominios institucionales configurados.
2) El primer acceso crea o vincula una única cuenta por correo.
3) Las sesiones expiran y pueden cerrarse desde cualquier módulo.
4) El MVP no depende de Lamb Academic ni valida el curso habilitante.</x:v>
      </x:c>
      <x:c r="G5" s="146" t="str">
        <x:v>Alto</x:v>
      </x:c>
      <x:c r="H5" s="146" t="n">
        <x:v>8</x:v>
      </x:c>
      <x:c r="I5" s="146" t="str">
        <x:v>S0</x:v>
      </x:c>
      <x:c r="J5" s="146" t="str">
        <x:v>No iniciado</x:v>
      </x:c>
      <x:c r="K5" s="122" t="str">
        <x:v>Ninguna</x:v>
      </x:c>
      <x:c r="L5" s="123" t="str">
        <x:v>DEC-01; DEC-03</x:v>
      </x:c>
    </x:row>
    <x:row r="6" ht="84" customHeight="1">
      <x:c r="A6" s="144" t="str">
        <x:v>HU-02</x:v>
      </x:c>
      <x:c r="B6" s="147" t="str">
        <x:v>Acceso y estructura institucional</x:v>
      </x:c>
      <x:c r="C6" s="125" t="str">
        <x:v>Estudiante</x:v>
      </x:c>
      <x:c r="D6" s="125" t="str">
        <x:v>completar mi perfil académico en el primer acceso</x:v>
      </x:c>
      <x:c r="E6" s="125" t="str">
        <x:v>usar el sistema aunque no exista integración actual con Lamb Academic</x:v>
      </x:c>
      <x:c r="F6" s="125" t="str">
        <x:v>1) Se solicitan como mínimo nombres, código, documento, campus y escuela.
2) Campus y escuela se seleccionan desde catálogos válidos.
3) No se puede enviar una solicitud de carta con el perfil incompleto.
4) Los cambios posteriores quedan registrados en auditoría.</x:v>
      </x:c>
      <x:c r="G6" s="148" t="str">
        <x:v>Alto</x:v>
      </x:c>
      <x:c r="H6" s="148" t="n">
        <x:v>5</x:v>
      </x:c>
      <x:c r="I6" s="148" t="str">
        <x:v>S0</x:v>
      </x:c>
      <x:c r="J6" s="148" t="str">
        <x:v>No iniciado</x:v>
      </x:c>
      <x:c r="K6" s="125" t="str">
        <x:v>HU-01</x:v>
      </x:c>
      <x:c r="L6" s="126" t="str">
        <x:v>DEC-01; DEC-03</x:v>
      </x:c>
    </x:row>
    <x:row r="7" ht="84" customHeight="1">
      <x:c r="A7" s="144" t="str">
        <x:v>HU-03</x:v>
      </x:c>
      <x:c r="B7" s="147" t="str">
        <x:v>Acceso y estructura institucional</x:v>
      </x:c>
      <x:c r="C7" s="125" t="str">
        <x:v>Sistema</x:v>
      </x:c>
      <x:c r="D7" s="125" t="str">
        <x:v>aplicar permisos por rol y ámbito organizacional</x:v>
      </x:c>
      <x:c r="E7" s="125" t="str">
        <x:v>evitar que un usuario consulte o modifique información fuera de su responsabilidad</x:v>
      </x:c>
      <x:c r="F7" s="125" t="str">
        <x:v>1) Se contemplan Estudiante, Secretaría, Docente supervisor, Coordinador PPP y Auditor institucional.
2) Estudiante ve solo sus expedientes; docente solo los asignados; Secretaría y coordinador solo su campus.
3) El auditor consulta los tres campus en modo estrictamente de lectura.
4) No existe cuenta para empresa o supervisor empresarial en el MVP.</x:v>
      </x:c>
      <x:c r="G7" s="148" t="str">
        <x:v>Alto</x:v>
      </x:c>
      <x:c r="H7" s="148" t="n">
        <x:v>8</x:v>
      </x:c>
      <x:c r="I7" s="148" t="str">
        <x:v>S0</x:v>
      </x:c>
      <x:c r="J7" s="148" t="str">
        <x:v>No iniciado</x:v>
      </x:c>
      <x:c r="K7" s="125" t="str">
        <x:v>HU-01; HU-02</x:v>
      </x:c>
      <x:c r="L7" s="126" t="str">
        <x:v>DEC-01; DEC-04</x:v>
      </x:c>
    </x:row>
    <x:row r="8" ht="84" customHeight="1">
      <x:c r="A8" s="144" t="str">
        <x:v>HU-04</x:v>
      </x:c>
      <x:c r="B8" s="147" t="str">
        <x:v>Acceso y estructura institucional</x:v>
      </x:c>
      <x:c r="C8" s="125" t="str">
        <x:v>Coordinador PPP</x:v>
      </x:c>
      <x:c r="D8" s="125" t="str">
        <x:v>gestionar periodos operativos de prácticas en mi campus</x:v>
      </x:c>
      <x:c r="E8" s="125" t="str">
        <x:v>organizar expedientes, filtros y reportes por periodo</x:v>
      </x:c>
      <x:c r="F8" s="125" t="str">
        <x:v>1) El coordinador crea, abre y cierra periodos de su campus.
2) Cada práctica queda asociada a un periodo sin perder sus fechas reales.
3) Cerrar un periodo impide nuevas prácticas, pero no altera el historial.
4) El auditor puede filtrar información consolidada por periodo y campus.</x:v>
      </x:c>
      <x:c r="G8" s="148" t="str">
        <x:v>Medio</x:v>
      </x:c>
      <x:c r="H8" s="148" t="n">
        <x:v>3</x:v>
      </x:c>
      <x:c r="I8" s="148" t="str">
        <x:v>S1</x:v>
      </x:c>
      <x:c r="J8" s="148" t="str">
        <x:v>No iniciado</x:v>
      </x:c>
      <x:c r="K8" s="125" t="str">
        <x:v>HU-03</x:v>
      </x:c>
      <x:c r="L8" s="126" t="str">
        <x:v>DEC-01; DOC-16</x:v>
      </x:c>
    </x:row>
    <x:row r="9" ht="84" customHeight="1">
      <x:c r="A9" s="144" t="str">
        <x:v>HU-05</x:v>
      </x:c>
      <x:c r="B9" s="147" t="str">
        <x:v>Carta de presentación</x:v>
      </x:c>
      <x:c r="C9" s="125" t="str">
        <x:v>Estudiante</x:v>
      </x:c>
      <x:c r="D9" s="125" t="str">
        <x:v>completar y enviar una solicitud de carta de presentación</x:v>
      </x:c>
      <x:c r="E9" s="125" t="str">
        <x:v>iniciar formalmente el proceso de PPP</x:v>
      </x:c>
      <x:c r="F9" s="125" t="str">
        <x:v>1) La solicitud recupera automáticamente los datos académicos del perfil.
2) El estudiante registra destinatario, cargo, empresa, área de práctica y datos requeridos por la plantilla.
3) Puede guardar en Borrador y solo enviar cuando los campos obligatorios estén completos.
4) Al enviar, la solicitud pasa a Enviada y queda visible para Secretaría del campus.</x:v>
      </x:c>
      <x:c r="G9" s="148" t="str">
        <x:v>Alto</x:v>
      </x:c>
      <x:c r="H9" s="148" t="n">
        <x:v>5</x:v>
      </x:c>
      <x:c r="I9" s="148" t="str">
        <x:v>S1</x:v>
      </x:c>
      <x:c r="J9" s="148" t="str">
        <x:v>No iniciado</x:v>
      </x:c>
      <x:c r="K9" s="125" t="str">
        <x:v>HU-02; HU-04</x:v>
      </x:c>
      <x:c r="L9" s="126" t="str">
        <x:v>DEC-02; DOC-07</x:v>
      </x:c>
    </x:row>
    <x:row r="10" ht="84" customHeight="1">
      <x:c r="A10" s="144" t="str">
        <x:v>HU-06</x:v>
      </x:c>
      <x:c r="B10" s="147" t="str">
        <x:v>Carta de presentación</x:v>
      </x:c>
      <x:c r="C10" s="125" t="str">
        <x:v>Sistema</x:v>
      </x:c>
      <x:c r="D10" s="125" t="str">
        <x:v>generar la carta con la plantilla institucional vigente</x:v>
      </x:c>
      <x:c r="E10" s="125" t="str">
        <x:v>evitar el llenado manual y mantener el formato oficial</x:v>
      </x:c>
      <x:c r="F10" s="125" t="str">
        <x:v>1) La plantilla se selecciona por campus, escuela y versión vigente.
2) La vista previa combina datos del estudiante, destinatario, empresa y área sin alterar el original.
3) La vista previa se identifica como borrador y no equivale a una carta aprobada.
4) La versión final conserva número, fecha y elementos institucionales definidos en la plantilla aprobada.</x:v>
      </x:c>
      <x:c r="G10" s="148" t="str">
        <x:v>Alto</x:v>
      </x:c>
      <x:c r="H10" s="148" t="n">
        <x:v>8</x:v>
      </x:c>
      <x:c r="I10" s="148" t="str">
        <x:v>S1</x:v>
      </x:c>
      <x:c r="J10" s="148" t="str">
        <x:v>No iniciado</x:v>
      </x:c>
      <x:c r="K10" s="125" t="str">
        <x:v>HU-05</x:v>
      </x:c>
      <x:c r="L10" s="126" t="str">
        <x:v>DEC-02; DOC-07</x:v>
      </x:c>
    </x:row>
    <x:row r="11" ht="84" customHeight="1">
      <x:c r="A11" s="144" t="str">
        <x:v>HU-07</x:v>
      </x:c>
      <x:c r="B11" s="147" t="str">
        <x:v>Carta de presentación</x:v>
      </x:c>
      <x:c r="C11" s="125" t="str">
        <x:v>Secretaría</x:v>
      </x:c>
      <x:c r="D11" s="125" t="str">
        <x:v>revisar, aprobar u observar solicitudes de carta de mi campus</x:v>
      </x:c>
      <x:c r="E11" s="125" t="str">
        <x:v>emitir cartas correctas sin intercambios manuales por correo</x:v>
      </x:c>
      <x:c r="F11" s="125" t="str">
        <x:v>1) Secretaría ve una bandeja con solicitudes Enviadas o Reenviadas de su campus.
2) Puede aprobar u observar; observar exige un comentario específico.
3) Aprobar bloquea los datos revisados y genera la versión final descargable.
4) Cada decisión registra usuario, fecha, estado anterior y estado nuevo.</x:v>
      </x:c>
      <x:c r="G11" s="148" t="str">
        <x:v>Alto</x:v>
      </x:c>
      <x:c r="H11" s="148" t="n">
        <x:v>5</x:v>
      </x:c>
      <x:c r="I11" s="148" t="str">
        <x:v>S1</x:v>
      </x:c>
      <x:c r="J11" s="148" t="str">
        <x:v>No iniciado</x:v>
      </x:c>
      <x:c r="K11" s="125" t="str">
        <x:v>HU-05; HU-06</x:v>
      </x:c>
      <x:c r="L11" s="126" t="str">
        <x:v>DEC-02</x:v>
      </x:c>
    </x:row>
    <x:row r="12" ht="84" customHeight="1">
      <x:c r="A12" s="144" t="str">
        <x:v>HU-08</x:v>
      </x:c>
      <x:c r="B12" s="147" t="str">
        <x:v>Carta de presentación</x:v>
      </x:c>
      <x:c r="C12" s="125" t="str">
        <x:v>Estudiante</x:v>
      </x:c>
      <x:c r="D12" s="125" t="str">
        <x:v>corregir y reenviar una solicitud observada</x:v>
      </x:c>
      <x:c r="E12" s="125" t="str">
        <x:v>resolver las observaciones de Secretaría sin crear trámites duplicados</x:v>
      </x:c>
      <x:c r="F12" s="125" t="str">
        <x:v>1) Solo una solicitud Observada puede editarse.
2) El comentario de Secretaría permanece visible durante la corrección.
3) Reenviar crea una nueva versión y cambia el estado a Reenviada.
4) Una carta Aprobada no puede ser modificada por el estudiante.</x:v>
      </x:c>
      <x:c r="G12" s="148" t="str">
        <x:v>Alto</x:v>
      </x:c>
      <x:c r="H12" s="148" t="n">
        <x:v>3</x:v>
      </x:c>
      <x:c r="I12" s="148" t="str">
        <x:v>S1</x:v>
      </x:c>
      <x:c r="J12" s="148" t="str">
        <x:v>No iniciado</x:v>
      </x:c>
      <x:c r="K12" s="125" t="str">
        <x:v>HU-07</x:v>
      </x:c>
      <x:c r="L12" s="126" t="str">
        <x:v>DEC-02</x:v>
      </x:c>
    </x:row>
    <x:row r="13" ht="84" customHeight="1">
      <x:c r="A13" s="144" t="str">
        <x:v>HU-09</x:v>
      </x:c>
      <x:c r="B13" s="147" t="str">
        <x:v>Carta de presentación</x:v>
      </x:c>
      <x:c r="C13" s="125" t="str">
        <x:v>Estudiante</x:v>
      </x:c>
      <x:c r="D13" s="125" t="str">
        <x:v>descargar mi carta aprobada y consultar su historial</x:v>
      </x:c>
      <x:c r="E13" s="125" t="str">
        <x:v>presentarla a la empresa y conservar evidencia del trámite</x:v>
      </x:c>
      <x:c r="F13" s="125" t="str">
        <x:v>1) Solo la versión Aprobada se ofrece como documento final.
2) La descarga requiere que el solicitante sea propietario del trámite.
3) El historial muestra estados, fechas, comentarios y versión vigente.
4) La descarga no permite modificar la carta almacenada.</x:v>
      </x:c>
      <x:c r="G13" s="148" t="str">
        <x:v>Alto</x:v>
      </x:c>
      <x:c r="H13" s="148" t="n">
        <x:v>3</x:v>
      </x:c>
      <x:c r="I13" s="148" t="str">
        <x:v>S1</x:v>
      </x:c>
      <x:c r="J13" s="148" t="str">
        <x:v>No iniciado</x:v>
      </x:c>
      <x:c r="K13" s="125" t="str">
        <x:v>HU-07</x:v>
      </x:c>
      <x:c r="L13" s="126" t="str">
        <x:v>DEC-02; DOC-07</x:v>
      </x:c>
    </x:row>
    <x:row r="14" ht="84" customHeight="1">
      <x:c r="A14" s="144" t="str">
        <x:v>HU-10</x:v>
      </x:c>
      <x:c r="B14" s="147" t="str">
        <x:v>Formalización de la práctica</x:v>
      </x:c>
      <x:c r="C14" s="125" t="str">
        <x:v>Estudiante</x:v>
      </x:c>
      <x:c r="D14" s="125" t="str">
        <x:v>registrar o reutilizar los datos de la empresa</x:v>
      </x:c>
      <x:c r="E14" s="125" t="str">
        <x:v>evitar duplicidades y completar la información requerida para mi práctica</x:v>
      </x:c>
      <x:c r="F14" s="125" t="str">
        <x:v>1) Se registran razón social, RUC cuando corresponda, representante, cargo, dirección, contacto y área.
2) El sistema busca coincidencias por RUC antes de crear una empresa peruana.
3) El estudiante puede seleccionar una empresa existente y completar datos propios de la práctica.
4) La información equivale al formulario de empresa y queda sujeta a revisión del coordinador.</x:v>
      </x:c>
      <x:c r="G14" s="148" t="str">
        <x:v>Alto</x:v>
      </x:c>
      <x:c r="H14" s="148" t="n">
        <x:v>5</x:v>
      </x:c>
      <x:c r="I14" s="148" t="str">
        <x:v>S2</x:v>
      </x:c>
      <x:c r="J14" s="148" t="str">
        <x:v>No iniciado</x:v>
      </x:c>
      <x:c r="K14" s="125" t="str">
        <x:v>HU-05</x:v>
      </x:c>
      <x:c r="L14" s="126" t="str">
        <x:v>DOC-04; DOC-06; DOC-10; DEC-01</x:v>
      </x:c>
    </x:row>
    <x:row r="15" ht="84" customHeight="1">
      <x:c r="A15" s="144" t="str">
        <x:v>HU-11</x:v>
      </x:c>
      <x:c r="B15" s="147" t="str">
        <x:v>Formalización de la práctica</x:v>
      </x:c>
      <x:c r="C15" s="125" t="str">
        <x:v>Estudiante</x:v>
      </x:c>
      <x:c r="D15" s="125" t="str">
        <x:v>crear un expediente independiente para cada práctica</x:v>
      </x:c>
      <x:c r="E15" s="125" t="str">
        <x:v>gestionar correctamente empresa, periodo, documentos, horas y evaluaciones</x:v>
      </x:c>
      <x:c r="F15" s="125" t="str">
        <x:v>1) El expediente registra empresa, área/cargo, responsable empresarial, fechas, horario y modalidad.
2) Se vincula a campus, escuela, periodo, estudiante y carta aprobada cuando corresponda.
3) Un nuevo expediente inicia en En preparación.
4) Cambiar de empresa genera otro expediente; no se sobrescribe la práctica anterior.</x:v>
      </x:c>
      <x:c r="G15" s="148" t="str">
        <x:v>Alto</x:v>
      </x:c>
      <x:c r="H15" s="148" t="n">
        <x:v>5</x:v>
      </x:c>
      <x:c r="I15" s="148" t="str">
        <x:v>S2</x:v>
      </x:c>
      <x:c r="J15" s="148" t="str">
        <x:v>No iniciado</x:v>
      </x:c>
      <x:c r="K15" s="125" t="str">
        <x:v>HU-09; HU-10</x:v>
      </x:c>
      <x:c r="L15" s="126" t="str">
        <x:v>DEC-04; DOC-04; DOC-14</x:v>
      </x:c>
    </x:row>
    <x:row r="16" ht="84" customHeight="1">
      <x:c r="A16" s="144" t="str">
        <x:v>HU-12</x:v>
      </x:c>
      <x:c r="B16" s="147" t="str">
        <x:v>Formalización de la práctica</x:v>
      </x:c>
      <x:c r="C16" s="125" t="str">
        <x:v>Estudiante</x:v>
      </x:c>
      <x:c r="D16" s="125" t="str">
        <x:v>gestionar varias prácticas y ver sus horas consolidadas</x:v>
      </x:c>
      <x:c r="E16" s="125" t="str">
        <x:v>acumular el requisito PPP sin mezclar los expedientes</x:v>
      </x:c>
      <x:c r="F16" s="125" t="str">
        <x:v>1) Cada práctica conserva documentos, estados, horas y evaluaciones propios.
2) La vista del estudiante lista todas sus prácticas activas e históricas.
3) El total general suma únicamente horas validadas.
4) Los periodos superpuestos generan una advertencia para el coordinador, sin fusionar expedientes.</x:v>
      </x:c>
      <x:c r="G16" s="148" t="str">
        <x:v>Alto</x:v>
      </x:c>
      <x:c r="H16" s="148" t="n">
        <x:v>8</x:v>
      </x:c>
      <x:c r="I16" s="148" t="str">
        <x:v>S2</x:v>
      </x:c>
      <x:c r="J16" s="148" t="str">
        <x:v>No iniciado</x:v>
      </x:c>
      <x:c r="K16" s="125" t="str">
        <x:v>HU-11</x:v>
      </x:c>
      <x:c r="L16" s="126" t="str">
        <x:v>DEC-04</x:v>
      </x:c>
    </x:row>
    <x:row r="17" ht="84" customHeight="1">
      <x:c r="A17" s="144" t="str">
        <x:v>HU-13</x:v>
      </x:c>
      <x:c r="B17" s="147" t="str">
        <x:v>Formalización de la práctica</x:v>
      </x:c>
      <x:c r="C17" s="125" t="str">
        <x:v>Estudiante</x:v>
      </x:c>
      <x:c r="D17" s="125" t="str">
        <x:v>consultar el checklist de etapas y documentos de mi expediente</x:v>
      </x:c>
      <x:c r="E17" s="125" t="str">
        <x:v>saber qué falta y qué bloquea el avance</x:v>
      </x:c>
      <x:c r="F17" s="125" t="str">
        <x:v>1) El checklist se organiza en inicio, seguimiento y cierre.
2) Muestra responsable, obligatoriedad, estado vigente y observación de cada elemento.
3) Distingue documentos cargados, registros digitales y requisitos condicionales.
4) No agrega como pasos operativos disposiciones generales ajenas al flujo confirmado.</x:v>
      </x:c>
      <x:c r="G17" s="148" t="str">
        <x:v>Alto</x:v>
      </x:c>
      <x:c r="H17" s="148" t="n">
        <x:v>5</x:v>
      </x:c>
      <x:c r="I17" s="148" t="str">
        <x:v>S2</x:v>
      </x:c>
      <x:c r="J17" s="148" t="str">
        <x:v>No iniciado</x:v>
      </x:c>
      <x:c r="K17" s="125" t="str">
        <x:v>HU-11</x:v>
      </x:c>
      <x:c r="L17" s="126" t="str">
        <x:v>DOC-01; DEC-01</x:v>
      </x:c>
    </x:row>
    <x:row r="18" ht="84" customHeight="1">
      <x:c r="A18" s="144" t="str">
        <x:v>HU-14</x:v>
      </x:c>
      <x:c r="B18" s="147" t="str">
        <x:v>Formalización de la práctica</x:v>
      </x:c>
      <x:c r="C18" s="125" t="str">
        <x:v>Estudiante</x:v>
      </x:c>
      <x:c r="D18" s="125" t="str">
        <x:v>subir por separado la carta de aceptación, el convenio y el plan de prácticas</x:v>
      </x:c>
      <x:c r="E18" s="125" t="str">
        <x:v>solicitar la autorización de inicio con el expediente completo</x:v>
      </x:c>
      <x:c r="F18" s="125" t="str">
        <x:v>1) Cada archivo se carga en su tipo documental y expediente correctos.
2) Se admite PDF; el formulario de empresa se captura como datos, no como carga redundante.
3) El estudiante puede reemplazar solo documentos Pendientes u Observados.
4) La interfaz muestra inmediatamente el estado de cada documento.</x:v>
      </x:c>
      <x:c r="G18" s="148" t="str">
        <x:v>Alto</x:v>
      </x:c>
      <x:c r="H18" s="148" t="n">
        <x:v>5</x:v>
      </x:c>
      <x:c r="I18" s="148" t="str">
        <x:v>S3</x:v>
      </x:c>
      <x:c r="J18" s="148" t="str">
        <x:v>No iniciado</x:v>
      </x:c>
      <x:c r="K18" s="125" t="str">
        <x:v>HU-11; HU-13</x:v>
      </x:c>
      <x:c r="L18" s="126" t="str">
        <x:v>DOC-01; DOC-04; DOC-10; DOC-14</x:v>
      </x:c>
    </x:row>
    <x:row r="19" ht="84" customHeight="1">
      <x:c r="A19" s="144" t="str">
        <x:v>HU-15</x:v>
      </x:c>
      <x:c r="B19" s="147" t="str">
        <x:v>Formalización de la práctica</x:v>
      </x:c>
      <x:c r="C19" s="125" t="str">
        <x:v>Sistema</x:v>
      </x:c>
      <x:c r="D19" s="125" t="str">
        <x:v>validar automáticamente los archivos antes de enviarlos a revisión</x:v>
      </x:c>
      <x:c r="E19" s="125" t="str">
        <x:v>rechazar cargas técnicamente inválidas sin sustituir la revisión humana</x:v>
      </x:c>
      <x:c r="F19" s="125" t="str">
        <x:v>1) Se valida extensión/MIME PDF, tamaño máximo configurable, lectura y archivo no vacío.
2) Los archivos que no superan la validación no pasan a En revisión.
3) El usuario recibe un mensaje específico y puede corregir la carga.
4) El MVP no promete validar firmas ni contenido semántico mediante OCR.</x:v>
      </x:c>
      <x:c r="G19" s="148" t="str">
        <x:v>Alto</x:v>
      </x:c>
      <x:c r="H19" s="148" t="n">
        <x:v>5</x:v>
      </x:c>
      <x:c r="I19" s="148" t="str">
        <x:v>S3</x:v>
      </x:c>
      <x:c r="J19" s="148" t="str">
        <x:v>No iniciado</x:v>
      </x:c>
      <x:c r="K19" s="125" t="str">
        <x:v>HU-14</x:v>
      </x:c>
      <x:c r="L19" s="126" t="str">
        <x:v>DEC-01</x:v>
      </x:c>
    </x:row>
    <x:row r="20" ht="84" customHeight="1">
      <x:c r="A20" s="144" t="str">
        <x:v>HU-16</x:v>
      </x:c>
      <x:c r="B20" s="147" t="str">
        <x:v>Formalización de la práctica</x:v>
      </x:c>
      <x:c r="C20" s="125" t="str">
        <x:v>Coordinador PPP</x:v>
      </x:c>
      <x:c r="D20" s="125" t="str">
        <x:v>revisar, aprobar, observar o anular documentos de mi campus</x:v>
      </x:c>
      <x:c r="E20" s="125" t="str">
        <x:v>autorizar únicamente expedientes con evidencia válida</x:v>
      </x:c>
      <x:c r="F20" s="125" t="str">
        <x:v>1) El coordinador accede solo a documentos de prácticas de su campus.
2) Aprobar registra responsable y fecha; observar o anular exige motivo.
3) Un documento Observado vuelve al estudiante y habilita una nueva versión.
4) La revisión humana no se reemplaza por la validación técnica del archivo.</x:v>
      </x:c>
      <x:c r="G20" s="148" t="str">
        <x:v>Alto</x:v>
      </x:c>
      <x:c r="H20" s="148" t="n">
        <x:v>8</x:v>
      </x:c>
      <x:c r="I20" s="148" t="str">
        <x:v>S3</x:v>
      </x:c>
      <x:c r="J20" s="148" t="str">
        <x:v>No iniciado</x:v>
      </x:c>
      <x:c r="K20" s="125" t="str">
        <x:v>HU-14; HU-15</x:v>
      </x:c>
      <x:c r="L20" s="126" t="str">
        <x:v>DEC-01; DOC-01</x:v>
      </x:c>
    </x:row>
    <x:row r="21" ht="84" customHeight="1">
      <x:c r="A21" s="144" t="str">
        <x:v>HU-17</x:v>
      </x:c>
      <x:c r="B21" s="147" t="str">
        <x:v>Formalización de la práctica</x:v>
      </x:c>
      <x:c r="C21" s="125" t="str">
        <x:v>Usuario autorizado</x:v>
      </x:c>
      <x:c r="D21" s="125" t="str">
        <x:v>consultar las versiones y comentarios de cada documento</x:v>
      </x:c>
      <x:c r="E21" s="125" t="str">
        <x:v>entender qué se corrigió sin perder la evidencia anterior</x:v>
      </x:c>
      <x:c r="F21" s="125" t="str">
        <x:v>1) Cada nueva carga incrementa la versión y conserva archivo, autor y fecha anteriores.
2) La interfaz identifica claramente la versión vigente y su estado.
3) Un archivo Aprobado no se sobrescribe ni elimina físicamente.
4) Las observaciones se vinculan a la versión revisada.</x:v>
      </x:c>
      <x:c r="G21" s="148" t="str">
        <x:v>Alto</x:v>
      </x:c>
      <x:c r="H21" s="148" t="n">
        <x:v>5</x:v>
      </x:c>
      <x:c r="I21" s="148" t="str">
        <x:v>S3</x:v>
      </x:c>
      <x:c r="J21" s="148" t="str">
        <x:v>No iniciado</x:v>
      </x:c>
      <x:c r="K21" s="125" t="str">
        <x:v>HU-16</x:v>
      </x:c>
      <x:c r="L21" s="126" t="str">
        <x:v>DEC-01</x:v>
      </x:c>
    </x:row>
    <x:row r="22" ht="84" customHeight="1">
      <x:c r="A22" s="144" t="str">
        <x:v>HU-18</x:v>
      </x:c>
      <x:c r="B22" s="147" t="str">
        <x:v>Formalización de la práctica</x:v>
      </x:c>
      <x:c r="C22" s="125" t="str">
        <x:v>Coordinador PPP</x:v>
      </x:c>
      <x:c r="D22" s="125" t="str">
        <x:v>autorizar y activar una práctica cuando cumpla las condiciones de inicio</x:v>
      </x:c>
      <x:c r="E22" s="125" t="str">
        <x:v>permitir el seguimiento solo de prácticas formalizadas</x:v>
      </x:c>
      <x:c r="F22" s="125" t="str">
        <x:v>1) La autorización exige datos completos y documentos iniciales obligatorios Aprobados.
2) Autorizar cambia la práctica de En preparación a Autorizada y registra la decisión.
3) La práctica pasa a Activa al llegar su fecha de inicio o por acción justificada del coordinador.
4) Una práctica no autorizada no admite envío de horas ni evaluaciones.</x:v>
      </x:c>
      <x:c r="G22" s="148" t="str">
        <x:v>Alto</x:v>
      </x:c>
      <x:c r="H22" s="148" t="n">
        <x:v>5</x:v>
      </x:c>
      <x:c r="I22" s="148" t="str">
        <x:v>S2</x:v>
      </x:c>
      <x:c r="J22" s="148" t="str">
        <x:v>No iniciado</x:v>
      </x:c>
      <x:c r="K22" s="125" t="str">
        <x:v>HU-13; HU-16</x:v>
      </x:c>
      <x:c r="L22" s="126" t="str">
        <x:v>DOC-01; DEC-01</x:v>
      </x:c>
    </x:row>
    <x:row r="23" ht="84" customHeight="1">
      <x:c r="A23" s="144" t="str">
        <x:v>HU-19</x:v>
      </x:c>
      <x:c r="B23" s="147" t="str">
        <x:v>Formalización de la práctica</x:v>
      </x:c>
      <x:c r="C23" s="125" t="str">
        <x:v>Coordinador PPP</x:v>
      </x:c>
      <x:c r="D23" s="125" t="str">
        <x:v>suspender, cancelar o reactivar una práctica con un motivo</x:v>
      </x:c>
      <x:c r="E23" s="125" t="str">
        <x:v>atender excepciones sin borrar el historial</x:v>
      </x:c>
      <x:c r="F23" s="125" t="str">
        <x:v>1) Toda excepción exige motivo, fecha efectiva y responsable.
2) Una práctica Suspendida no admite nuevos envíos de horas mientras dure la suspensión.
3) Cancelar conserva documentos, horas y evaluaciones existentes.
4) El cambio de empresa se registra como un nuevo expediente, no como edición del anterior.</x:v>
      </x:c>
      <x:c r="G23" s="148" t="str">
        <x:v>Medio</x:v>
      </x:c>
      <x:c r="H23" s="148" t="n">
        <x:v>5</x:v>
      </x:c>
      <x:c r="I23" s="148" t="str">
        <x:v>S3</x:v>
      </x:c>
      <x:c r="J23" s="148" t="str">
        <x:v>No iniciado</x:v>
      </x:c>
      <x:c r="K23" s="125" t="str">
        <x:v>HU-18</x:v>
      </x:c>
      <x:c r="L23" s="126" t="str">
        <x:v>DOC-04; DEC-04</x:v>
      </x:c>
    </x:row>
    <x:row r="24" ht="84" customHeight="1">
      <x:c r="A24" s="144" t="str">
        <x:v>HU-20</x:v>
      </x:c>
      <x:c r="B24" s="147" t="str">
        <x:v>Seguimiento y horas</x:v>
      </x:c>
      <x:c r="C24" s="125" t="str">
        <x:v>Coordinador PPP</x:v>
      </x:c>
      <x:c r="D24" s="125" t="str">
        <x:v>mantener el listado de docentes y asignar un supervisor a cada práctica</x:v>
      </x:c>
      <x:c r="E24" s="125" t="str">
        <x:v>asegurar que cada estudiante tenga seguimiento académico</x:v>
      </x:c>
      <x:c r="F24" s="125" t="str">
        <x:v>1) Solo se ofrecen docentes activos del mismo campus.
2) Cada práctica tiene un supervisor principal vigente.
3) Una reasignación conserva docente anterior, fechas y motivo.
4) El docente asignado recibe una notificación interna.</x:v>
      </x:c>
      <x:c r="G24" s="148" t="str">
        <x:v>Alto</x:v>
      </x:c>
      <x:c r="H24" s="148" t="n">
        <x:v>5</x:v>
      </x:c>
      <x:c r="I24" s="148" t="str">
        <x:v>S4</x:v>
      </x:c>
      <x:c r="J24" s="148" t="str">
        <x:v>No iniciado</x:v>
      </x:c>
      <x:c r="K24" s="125" t="str">
        <x:v>HU-18; HU-03</x:v>
      </x:c>
      <x:c r="L24" s="126" t="str">
        <x:v>DOC-16; DEC-01</x:v>
      </x:c>
    </x:row>
    <x:row r="25" ht="84" customHeight="1">
      <x:c r="A25" s="144" t="str">
        <x:v>HU-21</x:v>
      </x:c>
      <x:c r="B25" s="147" t="str">
        <x:v>Seguimiento y horas</x:v>
      </x:c>
      <x:c r="C25" s="125" t="str">
        <x:v>Docente supervisor</x:v>
      </x:c>
      <x:c r="D25" s="125" t="str">
        <x:v>consultar mis prácticas y expedientes asignados</x:v>
      </x:c>
      <x:c r="E25" s="125" t="str">
        <x:v>preparar las supervisiones y evaluaciones correspondientes</x:v>
      </x:c>
      <x:c r="F25" s="125" t="str">
        <x:v>1) El docente ve únicamente asignaciones vigentes o históricas propias.
2) Puede consultar datos de práctica, documentos aprobados, horas y calendario de supervisión.
3) Los documentos ajenos a sus funciones se muestran en solo lectura.
4) La búsqueda permite filtrar por estudiante, estado y periodo.</x:v>
      </x:c>
      <x:c r="G25" s="148" t="str">
        <x:v>Alto</x:v>
      </x:c>
      <x:c r="H25" s="148" t="n">
        <x:v>3</x:v>
      </x:c>
      <x:c r="I25" s="148" t="str">
        <x:v>S4</x:v>
      </x:c>
      <x:c r="J25" s="148" t="str">
        <x:v>No iniciado</x:v>
      </x:c>
      <x:c r="K25" s="125" t="str">
        <x:v>HU-20</x:v>
      </x:c>
      <x:c r="L25" s="126" t="str">
        <x:v>DOC-16; DEC-01</x:v>
      </x:c>
    </x:row>
    <x:row r="26" ht="84" customHeight="1">
      <x:c r="A26" s="144" t="str">
        <x:v>HU-22</x:v>
      </x:c>
      <x:c r="B26" s="147" t="str">
        <x:v>Seguimiento y horas</x:v>
      </x:c>
      <x:c r="C26" s="125" t="str">
        <x:v>Estudiante</x:v>
      </x:c>
      <x:c r="D26" s="125" t="str">
        <x:v>registrar y enviar actividades y horas de una práctica activa</x:v>
      </x:c>
      <x:c r="E26" s="125" t="str">
        <x:v>mantener evidencia periódica de mi avance</x:v>
      </x:c>
      <x:c r="F26" s="125" t="str">
        <x:v>1) Cada registro incluye fecha, descripción, cantidad de horas y evidencia opcional.
2) El estudiante puede guardar en Borrador y enviar cuando esté completo.
3) No se permiten valores negativos, más de 24 horas por día ni fechas fuera de la práctica sin advertencia.
4) Un registro enviado queda bloqueado hasta ser validado u observado.</x:v>
      </x:c>
      <x:c r="G26" s="148" t="str">
        <x:v>Alto</x:v>
      </x:c>
      <x:c r="H26" s="148" t="n">
        <x:v>5</x:v>
      </x:c>
      <x:c r="I26" s="148" t="str">
        <x:v>S4</x:v>
      </x:c>
      <x:c r="J26" s="148" t="str">
        <x:v>No iniciado</x:v>
      </x:c>
      <x:c r="K26" s="125" t="str">
        <x:v>HU-18</x:v>
      </x:c>
      <x:c r="L26" s="126" t="str">
        <x:v>DOC-14; DOC-16</x:v>
      </x:c>
    </x:row>
    <x:row r="27" ht="84" customHeight="1">
      <x:c r="A27" s="144" t="str">
        <x:v>HU-23</x:v>
      </x:c>
      <x:c r="B27" s="147" t="str">
        <x:v>Seguimiento y horas</x:v>
      </x:c>
      <x:c r="C27" s="125" t="str">
        <x:v>Coordinador PPP</x:v>
      </x:c>
      <x:c r="D27" s="125" t="str">
        <x:v>revisar, observar y validar los registros de horas</x:v>
      </x:c>
      <x:c r="E27" s="125" t="str">
        <x:v>contabilizar solo horas sustentadas dentro del expediente</x:v>
      </x:c>
      <x:c r="F27" s="125" t="str">
        <x:v>1) El coordinador revisa registros Enviados de su campus.
2) Validar incorpora las horas al total; observar exige comentario y permite corrección.
3) No se puede editar directamente una hora registrada por el estudiante.
4) La decisión conserva responsable, fecha y versión del registro.</x:v>
      </x:c>
      <x:c r="G27" s="148" t="str">
        <x:v>Alto</x:v>
      </x:c>
      <x:c r="H27" s="148" t="n">
        <x:v>5</x:v>
      </x:c>
      <x:c r="I27" s="148" t="str">
        <x:v>S4</x:v>
      </x:c>
      <x:c r="J27" s="148" t="str">
        <x:v>No iniciado</x:v>
      </x:c>
      <x:c r="K27" s="125" t="str">
        <x:v>HU-22</x:v>
      </x:c>
      <x:c r="L27" s="126" t="str">
        <x:v>DEC-01; DOC-16</x:v>
      </x:c>
    </x:row>
    <x:row r="28" ht="84" customHeight="1">
      <x:c r="A28" s="144" t="str">
        <x:v>HU-24</x:v>
      </x:c>
      <x:c r="B28" s="147" t="str">
        <x:v>Seguimiento y horas</x:v>
      </x:c>
      <x:c r="C28" s="125" t="str">
        <x:v>Estudiante</x:v>
      </x:c>
      <x:c r="D28" s="125" t="str">
        <x:v>visualizar horas por práctica y el total consolidado</x:v>
      </x:c>
      <x:c r="E28" s="125" t="str">
        <x:v>conocer mi avance real hacia el requisito PPP</x:v>
      </x:c>
      <x:c r="F28" s="125" t="str">
        <x:v>1) Se separan horas en Borrador, Enviadas, Observadas y Validadas.
2) El total consolidado usa únicamente horas Validadas.
3) Se muestra el aporte de cada práctica y lo faltante respecto a la meta configurada.
4) Las 50 horas de proyección social no se gestionan ni mezclan en este MVP.</x:v>
      </x:c>
      <x:c r="G28" s="148" t="str">
        <x:v>Alto</x:v>
      </x:c>
      <x:c r="H28" s="148" t="n">
        <x:v>3</x:v>
      </x:c>
      <x:c r="I28" s="148" t="str">
        <x:v>S4</x:v>
      </x:c>
      <x:c r="J28" s="148" t="str">
        <x:v>No iniciado</x:v>
      </x:c>
      <x:c r="K28" s="125" t="str">
        <x:v>HU-12; HU-23</x:v>
      </x:c>
      <x:c r="L28" s="126" t="str">
        <x:v>DOC-01; DEC-05</x:v>
      </x:c>
    </x:row>
    <x:row r="29" ht="84" customHeight="1">
      <x:c r="A29" s="144" t="str">
        <x:v>HU-25</x:v>
      </x:c>
      <x:c r="B29" s="147" t="str">
        <x:v>Seguimiento y horas</x:v>
      </x:c>
      <x:c r="C29" s="125" t="str">
        <x:v>Coordinador PPP</x:v>
      </x:c>
      <x:c r="D29" s="125" t="str">
        <x:v>programar supervisiones de entrada, intermedia y final</x:v>
      </x:c>
      <x:c r="E29" s="125" t="str">
        <x:v>organizar el seguimiento requerido durante la práctica</x:v>
      </x:c>
      <x:c r="F29" s="125" t="str">
        <x:v>1) Cada supervisión registra tipo, docente, fecha programada y práctica.
2) Las fechas deben encontrarse dentro del periodo de la práctica o mostrar advertencia justificada.
3) No puede existir más de una supervisión activa del mismo tipo para una práctica.
4) El docente y el estudiante reciben la programación en el sistema.</x:v>
      </x:c>
      <x:c r="G29" s="148" t="str">
        <x:v>Alto</x:v>
      </x:c>
      <x:c r="H29" s="148" t="n">
        <x:v>5</x:v>
      </x:c>
      <x:c r="I29" s="148" t="str">
        <x:v>S4</x:v>
      </x:c>
      <x:c r="J29" s="148" t="str">
        <x:v>No iniciado</x:v>
      </x:c>
      <x:c r="K29" s="125" t="str">
        <x:v>HU-20</x:v>
      </x:c>
      <x:c r="L29" s="126" t="str">
        <x:v>DOC-03; DOC-16</x:v>
      </x:c>
    </x:row>
    <x:row r="30" ht="84" customHeight="1">
      <x:c r="A30" s="144" t="str">
        <x:v>HU-26</x:v>
      </x:c>
      <x:c r="B30" s="147" t="str">
        <x:v>Seguimiento y horas</x:v>
      </x:c>
      <x:c r="C30" s="125" t="str">
        <x:v>Docente supervisor</x:v>
      </x:c>
      <x:c r="D30" s="125" t="str">
        <x:v>registrar la realización y evidencia de una supervisión</x:v>
      </x:c>
      <x:c r="E30" s="125" t="str">
        <x:v>dejar constancia del seguimiento académico efectuado</x:v>
      </x:c>
      <x:c r="F30" s="125" t="str">
        <x:v>1) Se registran fecha real, modalidad, observaciones, acuerdos y evidencia opcional.
2) Solo el docente asignado puede completar la supervisión.
3) Finalizar cambia el estado a Realizada y bloquea la edición ordinaria.
4) El coordinador puede reabrirla únicamente con motivo registrado.</x:v>
      </x:c>
      <x:c r="G30" s="148" t="str">
        <x:v>Alto</x:v>
      </x:c>
      <x:c r="H30" s="148" t="n">
        <x:v>5</x:v>
      </x:c>
      <x:c r="I30" s="148" t="str">
        <x:v>S4</x:v>
      </x:c>
      <x:c r="J30" s="148" t="str">
        <x:v>No iniciado</x:v>
      </x:c>
      <x:c r="K30" s="125" t="str">
        <x:v>HU-21; HU-25</x:v>
      </x:c>
      <x:c r="L30" s="126" t="str">
        <x:v>DOC-16</x:v>
      </x:c>
    </x:row>
    <x:row r="31" ht="84" customHeight="1">
      <x:c r="A31" s="144" t="str">
        <x:v>HU-27</x:v>
      </x:c>
      <x:c r="B31" s="147" t="str">
        <x:v>Seguimiento y horas</x:v>
      </x:c>
      <x:c r="C31" s="125" t="str">
        <x:v>Coordinador PPP</x:v>
      </x:c>
      <x:c r="D31" s="125" t="str">
        <x:v>reprogramar y controlar supervisiones vencidas</x:v>
      </x:c>
      <x:c r="E31" s="125" t="str">
        <x:v>intervenir antes de que el seguimiento quede incompleto</x:v>
      </x:c>
      <x:c r="F31" s="125" t="str">
        <x:v>1) Reprogramar exige nueva fecha y motivo, conservando la programación anterior.
2) Una supervisión pendiente cuya fecha venció se identifica como Vencida.
3) Las vencidas aparecen en el panel del coordinador y del docente.
4) La reprogramación genera una notificación interna.</x:v>
      </x:c>
      <x:c r="G31" s="148" t="str">
        <x:v>Medio</x:v>
      </x:c>
      <x:c r="H31" s="148" t="n">
        <x:v>3</x:v>
      </x:c>
      <x:c r="I31" s="148" t="str">
        <x:v>S4</x:v>
      </x:c>
      <x:c r="J31" s="148" t="str">
        <x:v>No iniciado</x:v>
      </x:c>
      <x:c r="K31" s="125" t="str">
        <x:v>HU-25</x:v>
      </x:c>
      <x:c r="L31" s="126" t="str">
        <x:v>DOC-16</x:v>
      </x:c>
    </x:row>
    <x:row r="32" ht="84" customHeight="1">
      <x:c r="A32" s="144" t="str">
        <x:v>HU-28</x:v>
      </x:c>
      <x:c r="B32" s="147" t="str">
        <x:v>Evaluaciones</x:v>
      </x:c>
      <x:c r="C32" s="125" t="str">
        <x:v>Docente supervisor</x:v>
      </x:c>
      <x:c r="D32" s="125" t="str">
        <x:v>completar la evaluación de entrada, intermedia o final</x:v>
      </x:c>
      <x:c r="E32" s="125" t="str">
        <x:v>medir las competencias del estudiante con el instrumento vigente</x:v>
      </x:c>
      <x:c r="F32" s="125" t="str">
        <x:v>1) La evaluación usa la plantilla vigente con escala 1 a 5 y opción No aplica.
2) Solo el docente asignado evalúa la práctica y fase correspondientes.
3) No aplica se excluye del cálculo y no se interpreta como cero.
4) La evaluación puede guardarse como borrador y se bloquea al finalizar.</x:v>
      </x:c>
      <x:c r="G32" s="148" t="str">
        <x:v>Alto</x:v>
      </x:c>
      <x:c r="H32" s="148" t="n">
        <x:v>8</x:v>
      </x:c>
      <x:c r="I32" s="148" t="str">
        <x:v>S5</x:v>
      </x:c>
      <x:c r="J32" s="148" t="str">
        <x:v>No iniciado</x:v>
      </x:c>
      <x:c r="K32" s="125" t="str">
        <x:v>HU-26</x:v>
      </x:c>
      <x:c r="L32" s="126" t="str">
        <x:v>DOC-03; DOC-12; DOC-16</x:v>
      </x:c>
    </x:row>
    <x:row r="33" ht="84" customHeight="1">
      <x:c r="A33" s="144" t="str">
        <x:v>HU-29</x:v>
      </x:c>
      <x:c r="B33" s="147" t="str">
        <x:v>Evaluaciones</x:v>
      </x:c>
      <x:c r="C33" s="125" t="str">
        <x:v>Estudiante</x:v>
      </x:c>
      <x:c r="D33" s="125" t="str">
        <x:v>subir la evaluación final firmada por la empresa</x:v>
      </x:c>
      <x:c r="E33" s="125" t="str">
        <x:v>incorporar al expediente la calificación del jefe inmediato sin crear una cuenta empresarial</x:v>
      </x:c>
      <x:c r="F33" s="125" t="str">
        <x:v>1) La evaluación se adjunta como PDF firmado externamente.
2) Se registran empresa, supervisor, periodo, días, horas y nota general de 0 a 20.
3) El sistema no habilita formulario ni cuenta para la empresa.
4) Una evaluación Observada puede corregirse mediante una nueva versión.</x:v>
      </x:c>
      <x:c r="G33" s="148" t="str">
        <x:v>Alto</x:v>
      </x:c>
      <x:c r="H33" s="148" t="n">
        <x:v>3</x:v>
      </x:c>
      <x:c r="I33" s="148" t="str">
        <x:v>S5</x:v>
      </x:c>
      <x:c r="J33" s="148" t="str">
        <x:v>No iniciado</x:v>
      </x:c>
      <x:c r="K33" s="125" t="str">
        <x:v>HU-14; HU-18</x:v>
      </x:c>
      <x:c r="L33" s="126" t="str">
        <x:v>DOC-02; DOC-11; DEC-06</x:v>
      </x:c>
    </x:row>
    <x:row r="34" ht="84" customHeight="1">
      <x:c r="A34" s="144" t="str">
        <x:v>HU-30</x:v>
      </x:c>
      <x:c r="B34" s="147" t="str">
        <x:v>Evaluaciones</x:v>
      </x:c>
      <x:c r="C34" s="125" t="str">
        <x:v>Coordinador PPP</x:v>
      </x:c>
      <x:c r="D34" s="125" t="str">
        <x:v>verificar las evaluaciones docente y empresarial</x:v>
      </x:c>
      <x:c r="E34" s="125" t="str">
        <x:v>detectar pendientes o inconsistencias antes del cierre</x:v>
      </x:c>
      <x:c r="F34" s="125" t="str">
        <x:v>1) El coordinador ve fases docentes requeridas y estado de la evaluación empresarial.
2) La evaluación empresarial se aprueba u observa con comentario.
3) Diferencias entre horas declaradas por la empresa y horas validadas generan una alerta.
4) El MVP no combina automáticamente ambas escalas en una nota final no documentada.</x:v>
      </x:c>
      <x:c r="G34" s="148" t="str">
        <x:v>Alto</x:v>
      </x:c>
      <x:c r="H34" s="148" t="n">
        <x:v>5</x:v>
      </x:c>
      <x:c r="I34" s="148" t="str">
        <x:v>S5</x:v>
      </x:c>
      <x:c r="J34" s="148" t="str">
        <x:v>No iniciado</x:v>
      </x:c>
      <x:c r="K34" s="125" t="str">
        <x:v>HU-28; HU-29</x:v>
      </x:c>
      <x:c r="L34" s="126" t="str">
        <x:v>DOC-02; DOC-03; DEC-01</x:v>
      </x:c>
    </x:row>
    <x:row r="35" ht="84" customHeight="1">
      <x:c r="A35" s="144" t="str">
        <x:v>HU-31</x:v>
      </x:c>
      <x:c r="B35" s="147" t="str">
        <x:v>Evaluaciones</x:v>
      </x:c>
      <x:c r="C35" s="125" t="str">
        <x:v>Sistema</x:v>
      </x:c>
      <x:c r="D35" s="125" t="str">
        <x:v>conservar la versión de plantilla usada en cada evaluación</x:v>
      </x:c>
      <x:c r="E35" s="125" t="str">
        <x:v>mantener resultados históricos aunque el instrumento cambie</x:v>
      </x:c>
      <x:c r="F35" s="125" t="str">
        <x:v>1) Cada respuesta queda vinculada a una versión inmutable de la plantilla.
2) La versión inicial reproduce las fichas actuales de docente y empresa.
3) Las dimensiones, ítems y escalas se modelan como datos configurables.
4) El MVP no incluye un diseñador visual de instrumentos.</x:v>
      </x:c>
      <x:c r="G35" s="148" t="str">
        <x:v>Medio</x:v>
      </x:c>
      <x:c r="H35" s="148" t="n">
        <x:v>5</x:v>
      </x:c>
      <x:c r="I35" s="148" t="str">
        <x:v>S5</x:v>
      </x:c>
      <x:c r="J35" s="148" t="str">
        <x:v>No iniciado</x:v>
      </x:c>
      <x:c r="K35" s="125" t="str">
        <x:v>HU-28; HU-29</x:v>
      </x:c>
      <x:c r="L35" s="126" t="str">
        <x:v>DOC-02; DOC-03; DEC-01</x:v>
      </x:c>
    </x:row>
    <x:row r="36" ht="84" customHeight="1">
      <x:c r="A36" s="144" t="str">
        <x:v>HU-32</x:v>
      </x:c>
      <x:c r="B36" s="147" t="str">
        <x:v>Cierre y reconocimiento</x:v>
      </x:c>
      <x:c r="C36" s="125" t="str">
        <x:v>Estudiante</x:v>
      </x:c>
      <x:c r="D36" s="125" t="str">
        <x:v>subir mi informe final de PPP</x:v>
      </x:c>
      <x:c r="E36" s="125" t="str">
        <x:v>solicitar la revisión del resultado de la práctica</x:v>
      </x:c>
      <x:c r="F36" s="125" t="str">
        <x:v>1) El informe se carga como PDF en la etapa de cierre.
2) La interfaz muestra la estructura de referencia del modelo institucional.
3) El coordinador puede aprobar u observar y cada corrección crea una versión.
4) El informe pertenece a una práctica específica, no al estudiante en general.</x:v>
      </x:c>
      <x:c r="G36" s="148" t="str">
        <x:v>Alto</x:v>
      </x:c>
      <x:c r="H36" s="148" t="n">
        <x:v>3</x:v>
      </x:c>
      <x:c r="I36" s="148" t="str">
        <x:v>S6</x:v>
      </x:c>
      <x:c r="J36" s="148" t="str">
        <x:v>No iniciado</x:v>
      </x:c>
      <x:c r="K36" s="125" t="str">
        <x:v>HU-18; HU-17</x:v>
      </x:c>
      <x:c r="L36" s="126" t="str">
        <x:v>DOC-05; DOC-15</x:v>
      </x:c>
    </x:row>
    <x:row r="37" ht="84" customHeight="1">
      <x:c r="A37" s="144" t="str">
        <x:v>HU-33</x:v>
      </x:c>
      <x:c r="B37" s="147" t="str">
        <x:v>Cierre y reconocimiento</x:v>
      </x:c>
      <x:c r="C37" s="125" t="str">
        <x:v>Estudiante</x:v>
      </x:c>
      <x:c r="D37" s="125" t="str">
        <x:v>subir la constancia o certificado emitido por la empresa</x:v>
      </x:c>
      <x:c r="E37" s="125" t="str">
        <x:v>acreditar el periodo y las horas de la práctica</x:v>
      </x:c>
      <x:c r="F37" s="125" t="str">
        <x:v>1) Se acepta Constancia o Certificado como evidencia equivalente de cierre.
2) El estudiante registra fechas y horas declaradas junto al PDF.
3) El coordinador verifica firma/sello, empresa, periodo y horas mediante revisión humana.
4) Las discrepancias con el sistema se muestran antes de aprobar.</x:v>
      </x:c>
      <x:c r="G37" s="148" t="str">
        <x:v>Alto</x:v>
      </x:c>
      <x:c r="H37" s="148" t="n">
        <x:v>3</x:v>
      </x:c>
      <x:c r="I37" s="148" t="str">
        <x:v>S6</x:v>
      </x:c>
      <x:c r="J37" s="148" t="str">
        <x:v>No iniciado</x:v>
      </x:c>
      <x:c r="K37" s="125" t="str">
        <x:v>HU-18; HU-23</x:v>
      </x:c>
      <x:c r="L37" s="126" t="str">
        <x:v>DOC-01; DOC-09</x:v>
      </x:c>
    </x:row>
    <x:row r="38" ht="84" customHeight="1">
      <x:c r="A38" s="144" t="str">
        <x:v>HU-34</x:v>
      </x:c>
      <x:c r="B38" s="147" t="str">
        <x:v>Cierre y reconocimiento</x:v>
      </x:c>
      <x:c r="C38" s="125" t="str">
        <x:v>Coordinador PPP</x:v>
      </x:c>
      <x:c r="D38" s="125" t="str">
        <x:v>consultar y validar el checklist de cierre</x:v>
      </x:c>
      <x:c r="E38" s="125" t="str">
        <x:v>conocer exactamente qué impide finalizar una práctica</x:v>
      </x:c>
      <x:c r="F38" s="125" t="str">
        <x:v>1) El checklist verifica documentos de cierre aprobados, supervisiones y evaluaciones requeridas.
2) Compara horas validadas con las declaradas en la constancia/certificado.
3) Muestra cada bloqueo con enlace al elemento pendiente u observado.
4) El sistema no cierra automáticamente; la decisión final corresponde al coordinador.</x:v>
      </x:c>
      <x:c r="G38" s="148" t="str">
        <x:v>Alto</x:v>
      </x:c>
      <x:c r="H38" s="148" t="n">
        <x:v>8</x:v>
      </x:c>
      <x:c r="I38" s="148" t="str">
        <x:v>S6</x:v>
      </x:c>
      <x:c r="J38" s="148" t="str">
        <x:v>No iniciado</x:v>
      </x:c>
      <x:c r="K38" s="125" t="str">
        <x:v>HU-30; HU-32; HU-33</x:v>
      </x:c>
      <x:c r="L38" s="126" t="str">
        <x:v>DOC-01; DOC-16; DEC-01</x:v>
      </x:c>
    </x:row>
    <x:row r="39" ht="84" customHeight="1">
      <x:c r="A39" s="144" t="str">
        <x:v>HU-35</x:v>
      </x:c>
      <x:c r="B39" s="147" t="str">
        <x:v>Cierre y reconocimiento</x:v>
      </x:c>
      <x:c r="C39" s="125" t="str">
        <x:v>Coordinador PPP</x:v>
      </x:c>
      <x:c r="D39" s="125" t="str">
        <x:v>finalizar una práctica que supera el checklist</x:v>
      </x:c>
      <x:c r="E39" s="125" t="str">
        <x:v>cerrar su expediente sin confundirlo con el cumplimiento académico total</x:v>
      </x:c>
      <x:c r="F39" s="125" t="str">
        <x:v>1) Solo una práctica En cierre y sin bloqueos puede pasar a Finalizada.
2) Finalizar registra responsable/fecha y bloquea nuevas horas o documentos ordinarios.
3) La práctica puede reabrirse únicamente con motivo y permiso del coordinador.
4) Finalizar una práctica no implica por sí solo que el estudiante alcance la meta total.</x:v>
      </x:c>
      <x:c r="G39" s="148" t="str">
        <x:v>Alto</x:v>
      </x:c>
      <x:c r="H39" s="148" t="n">
        <x:v>5</x:v>
      </x:c>
      <x:c r="I39" s="148" t="str">
        <x:v>S6</x:v>
      </x:c>
      <x:c r="J39" s="148" t="str">
        <x:v>No iniciado</x:v>
      </x:c>
      <x:c r="K39" s="125" t="str">
        <x:v>HU-34</x:v>
      </x:c>
      <x:c r="L39" s="126" t="str">
        <x:v>DEC-04</x:v>
      </x:c>
    </x:row>
    <x:row r="40" ht="84" customHeight="1">
      <x:c r="A40" s="144" t="str">
        <x:v>HU-36</x:v>
      </x:c>
      <x:c r="B40" s="147" t="str">
        <x:v>Cierre y reconocimiento</x:v>
      </x:c>
      <x:c r="C40" s="125" t="str">
        <x:v>Sistema</x:v>
      </x:c>
      <x:c r="D40" s="125" t="str">
        <x:v>calcular el cumplimiento del requisito PPP entre varias prácticas</x:v>
      </x:c>
      <x:c r="E40" s="125" t="str">
        <x:v>distinguir progreso, cumplimiento y reconocimiento académico</x:v>
      </x:c>
      <x:c r="F40" s="125" t="str">
        <x:v>1) El progreso puede mostrar todas las horas validadas; el cumplimiento usa horas de prácticas Finalizadas.
2) La meta de PPP es configurable y se inicializa en 700 horas según las fuentes disponibles.
3) Los estados generales son Pendiente, Cumplido y Reconocido; no se editan manualmente.
4) La proyección social permanece fuera del cálculo operativo del MVP.</x:v>
      </x:c>
      <x:c r="G40" s="148" t="str">
        <x:v>Alto</x:v>
      </x:c>
      <x:c r="H40" s="148" t="n">
        <x:v>5</x:v>
      </x:c>
      <x:c r="I40" s="148" t="str">
        <x:v>S6</x:v>
      </x:c>
      <x:c r="J40" s="148" t="str">
        <x:v>No iniciado</x:v>
      </x:c>
      <x:c r="K40" s="125" t="str">
        <x:v>HU-24; HU-35</x:v>
      </x:c>
      <x:c r="L40" s="126" t="str">
        <x:v>DOC-01; DOC-08; DOC-14; DEC-05</x:v>
      </x:c>
    </x:row>
    <x:row r="41" ht="84" customHeight="1">
      <x:c r="A41" s="144" t="str">
        <x:v>HU-37</x:v>
      </x:c>
      <x:c r="B41" s="147" t="str">
        <x:v>Cierre y reconocimiento</x:v>
      </x:c>
      <x:c r="C41" s="125" t="str">
        <x:v>Coordinador PPP</x:v>
      </x:c>
      <x:c r="D41" s="125" t="str">
        <x:v>registrar el documento individual indispensable de reconocimiento cuando corresponda</x:v>
      </x:c>
      <x:c r="E41" s="125" t="str">
        <x:v>dejar evidencia del cierre académico sin gestionar Consejo, sesiones ni actas</x:v>
      </x:c>
      <x:c r="F41" s="125" t="str">
        <x:v>1) Se registra tipo, número, fecha y archivo del documento/resolución individual.
2) Solo puede asociarse a un estudiante cuyo requisito PPP esté Cumplido.
3) Registrar el documento cambia el estado general a Reconocido.
4) El sistema no crea ni administra agendas, sesiones, actas o resoluciones institucionales ajenas al expediente.</x:v>
      </x:c>
      <x:c r="G41" s="148" t="str">
        <x:v>Alto</x:v>
      </x:c>
      <x:c r="H41" s="148" t="n">
        <x:v>5</x:v>
      </x:c>
      <x:c r="I41" s="148" t="str">
        <x:v>S6</x:v>
      </x:c>
      <x:c r="J41" s="148" t="str">
        <x:v>No iniciado</x:v>
      </x:c>
      <x:c r="K41" s="125" t="str">
        <x:v>HU-36</x:v>
      </x:c>
      <x:c r="L41" s="126" t="str">
        <x:v>DOC-08; DEC-03</x:v>
      </x:c>
    </x:row>
    <x:row r="42" ht="84" customHeight="1">
      <x:c r="A42" s="144" t="str">
        <x:v>HU-38</x:v>
      </x:c>
      <x:c r="B42" s="147" t="str">
        <x:v>Monitoreo, auditoría y reportes</x:v>
      </x:c>
      <x:c r="C42" s="125" t="str">
        <x:v>Estudiante</x:v>
      </x:c>
      <x:c r="D42" s="125" t="str">
        <x:v>consultar un panel resumido de mis PPP</x:v>
      </x:c>
      <x:c r="E42" s="125" t="str">
        <x:v>identificar rápidamente pendientes, observaciones y avance</x:v>
      </x:c>
      <x:c r="F42" s="125" t="str">
        <x:v>1) El panel muestra carta, prácticas, documentos, horas, supervisiones, evaluaciones y estado general.
2) Cada alerta enlaza al elemento que requiere acción.
3) Se distingue claramente avance de una práctica y cumplimiento total.
4) La vista es responsive y no requiere aplicación móvil nativa.</x:v>
      </x:c>
      <x:c r="G42" s="148" t="str">
        <x:v>Medio</x:v>
      </x:c>
      <x:c r="H42" s="148" t="n">
        <x:v>5</x:v>
      </x:c>
      <x:c r="I42" s="148" t="str">
        <x:v>S7</x:v>
      </x:c>
      <x:c r="J42" s="148" t="str">
        <x:v>No iniciado</x:v>
      </x:c>
      <x:c r="K42" s="125" t="str">
        <x:v>HU-09; HU-24; HU-34</x:v>
      </x:c>
      <x:c r="L42" s="126" t="str">
        <x:v>DEC-01; DEC-03</x:v>
      </x:c>
    </x:row>
    <x:row r="43" ht="84" customHeight="1">
      <x:c r="A43" s="144" t="str">
        <x:v>HU-39</x:v>
      </x:c>
      <x:c r="B43" s="147" t="str">
        <x:v>Monitoreo, auditoría y reportes</x:v>
      </x:c>
      <x:c r="C43" s="125" t="str">
        <x:v>Coordinador PPP</x:v>
      </x:c>
      <x:c r="D43" s="125" t="str">
        <x:v>consultar un panel operativo de estudiantes de mi campus</x:v>
      </x:c>
      <x:c r="E43" s="125" t="str">
        <x:v>priorizar expedientes que requieren intervención</x:v>
      </x:c>
      <x:c r="F43" s="125" t="str">
        <x:v>1) Muestra documentos pendientes/observados, horas por validar, supervisiones/evaluaciones vencidas y próximas finalizaciones.
2) Permite filtrar por periodo, estado, estudiante, empresa y docente.
3) Los conteos coinciden con los listados al abrir cada indicador.
4) El coordinador no ve datos de otros campus.</x:v>
      </x:c>
      <x:c r="G43" s="148" t="str">
        <x:v>Alto</x:v>
      </x:c>
      <x:c r="H43" s="148" t="n">
        <x:v>8</x:v>
      </x:c>
      <x:c r="I43" s="148" t="str">
        <x:v>S7</x:v>
      </x:c>
      <x:c r="J43" s="148" t="str">
        <x:v>No iniciado</x:v>
      </x:c>
      <x:c r="K43" s="125" t="str">
        <x:v>HU-16; HU-23; HU-27; HU-30; HU-34</x:v>
      </x:c>
      <x:c r="L43" s="126" t="str">
        <x:v>DEC-01; DOC-16</x:v>
      </x:c>
    </x:row>
    <x:row r="44" ht="84" customHeight="1">
      <x:c r="A44" s="144" t="str">
        <x:v>HU-40</x:v>
      </x:c>
      <x:c r="B44" s="147" t="str">
        <x:v>Monitoreo, auditoría y reportes</x:v>
      </x:c>
      <x:c r="C44" s="125" t="str">
        <x:v>Usuario del sistema</x:v>
      </x:c>
      <x:c r="D44" s="125" t="str">
        <x:v>recibir notificaciones internas por eventos y vencimientos</x:v>
      </x:c>
      <x:c r="E44" s="125" t="str">
        <x:v>actuar oportunamente sin depender de WhatsApp</x:v>
      </x:c>
      <x:c r="F44" s="125" t="str">
        <x:v>1) Se notifican al menos observaciones/aprobaciones, asignaciones, horas observadas y supervisiones próximas o vencidas.
2) Cada notificación tiene destinatario, fecha, enlace y estado Leída/No leída.
3) Los eventos se generan una sola vez y respetan el ámbito del usuario.
4) WhatsApp automatizado y notificaciones móviles nativas quedan fuera del MVP.</x:v>
      </x:c>
      <x:c r="G44" s="148" t="str">
        <x:v>Medio</x:v>
      </x:c>
      <x:c r="H44" s="148" t="n">
        <x:v>5</x:v>
      </x:c>
      <x:c r="I44" s="148" t="str">
        <x:v>S7</x:v>
      </x:c>
      <x:c r="J44" s="148" t="str">
        <x:v>No iniciado</x:v>
      </x:c>
      <x:c r="K44" s="125" t="str">
        <x:v>HU-07; HU-20; HU-23; HU-27</x:v>
      </x:c>
      <x:c r="L44" s="126" t="str">
        <x:v>DEC-03</x:v>
      </x:c>
    </x:row>
    <x:row r="45" ht="84" customHeight="1">
      <x:c r="A45" s="144" t="str">
        <x:v>HU-41</x:v>
      </x:c>
      <x:c r="B45" s="147" t="str">
        <x:v>Monitoreo, auditoría y reportes</x:v>
      </x:c>
      <x:c r="C45" s="125" t="str">
        <x:v>Coordinador PPP</x:v>
      </x:c>
      <x:c r="D45" s="125" t="str">
        <x:v>buscar el historial de prácticas, estudiantes y empresas</x:v>
      </x:c>
      <x:c r="E45" s="125" t="str">
        <x:v>consultar expedientes anteriores sin depender de carpetas dispersas</x:v>
      </x:c>
      <x:c r="F45" s="125" t="str">
        <x:v>1) La búsqueda filtra por estudiante, código, empresa, periodo, estado y docente.
2) El coordinador consulta solo su campus y el estudiante solo sus propios expedientes.
3) Los resultados incluyen prácticas activas, finalizadas, suspendidas y canceladas.
4) No se eliminan registros históricos por una baja lógica de empresa o usuario.</x:v>
      </x:c>
      <x:c r="G45" s="148" t="str">
        <x:v>Medio</x:v>
      </x:c>
      <x:c r="H45" s="148" t="n">
        <x:v>5</x:v>
      </x:c>
      <x:c r="I45" s="148" t="str">
        <x:v>S7</x:v>
      </x:c>
      <x:c r="J45" s="148" t="str">
        <x:v>No iniciado</x:v>
      </x:c>
      <x:c r="K45" s="125" t="str">
        <x:v>HU-11; HU-35</x:v>
      </x:c>
      <x:c r="L45" s="126" t="str">
        <x:v>DOC-16; DEC-01</x:v>
      </x:c>
    </x:row>
    <x:row r="46" ht="84" customHeight="1">
      <x:c r="A46" s="144" t="str">
        <x:v>HU-42</x:v>
      </x:c>
      <x:c r="B46" s="147" t="str">
        <x:v>Monitoreo, auditoría y reportes</x:v>
      </x:c>
      <x:c r="C46" s="125" t="str">
        <x:v>Coordinador PPP</x:v>
      </x:c>
      <x:c r="D46" s="125" t="str">
        <x:v>generar reportes del proceso y el informe anual</x:v>
      </x:c>
      <x:c r="E46" s="125" t="str">
        <x:v>sustentar decisiones y seguimiento institucional con datos consistentes</x:v>
      </x:c>
      <x:c r="F46" s="125" t="str">
        <x:v>1) Los reportes incluyen estudiantes, empresas, horas, estados, supervisiones, evaluaciones y desempeño.
2) Se filtran por periodo y campus y pueden exportarse a Excel o PDF.
3) El informe anual reproduce totales y porcentajes trazables al detalle.
4) Las exportaciones registran parámetros, usuario y fecha de generación.</x:v>
      </x:c>
      <x:c r="G46" s="148" t="str">
        <x:v>Medio</x:v>
      </x:c>
      <x:c r="H46" s="148" t="n">
        <x:v>8</x:v>
      </x:c>
      <x:c r="I46" s="148" t="str">
        <x:v>S7</x:v>
      </x:c>
      <x:c r="J46" s="148" t="str">
        <x:v>No iniciado</x:v>
      </x:c>
      <x:c r="K46" s="125" t="str">
        <x:v>HU-39; HU-41</x:v>
      </x:c>
      <x:c r="L46" s="126" t="str">
        <x:v>DOC-16</x:v>
      </x:c>
    </x:row>
    <x:row r="47" ht="84" customHeight="1">
      <x:c r="A47" s="144" t="str">
        <x:v>HU-43</x:v>
      </x:c>
      <x:c r="B47" s="147" t="str">
        <x:v>Monitoreo, auditoría y reportes</x:v>
      </x:c>
      <x:c r="C47" s="125" t="str">
        <x:v>Auditor institucional</x:v>
      </x:c>
      <x:c r="D47" s="125" t="str">
        <x:v>consultar un dashboard consolidado de los tres campus</x:v>
      </x:c>
      <x:c r="E47" s="125" t="str">
        <x:v>realizar auditoría institucional sin intervenir en el proceso</x:v>
      </x:c>
      <x:c r="F47" s="125" t="str">
        <x:v>1) El auditor visualiza indicadores consolidados y por campus, periodo, estado, empresa y responsable.
2) Puede profundizar hasta el expediente en modo de solo lectura.
3) No dispone de acciones para aprobar, observar, editar, cerrar o asignar.
4) Toda consulta respeta la protección de archivos y queda registrada.</x:v>
      </x:c>
      <x:c r="G47" s="148" t="str">
        <x:v>Alto</x:v>
      </x:c>
      <x:c r="H47" s="148" t="n">
        <x:v>8</x:v>
      </x:c>
      <x:c r="I47" s="148" t="str">
        <x:v>S7</x:v>
      </x:c>
      <x:c r="J47" s="148" t="str">
        <x:v>No iniciado</x:v>
      </x:c>
      <x:c r="K47" s="125" t="str">
        <x:v>HU-03; HU-39</x:v>
      </x:c>
      <x:c r="L47" s="126" t="str">
        <x:v>DEC-04</x:v>
      </x:c>
    </x:row>
    <x:row r="48" ht="84" customHeight="1">
      <x:c r="A48" s="144" t="str">
        <x:v>HU-44</x:v>
      </x:c>
      <x:c r="B48" s="147" t="str">
        <x:v>Monitoreo, auditoría y reportes</x:v>
      </x:c>
      <x:c r="C48" s="125" t="str">
        <x:v>Auditor institucional</x:v>
      </x:c>
      <x:c r="D48" s="125" t="str">
        <x:v>consultar la bitácora de acciones del sistema</x:v>
      </x:c>
      <x:c r="E48" s="125" t="str">
        <x:v>identificar quién hizo qué, cuándo y sobre qué expediente</x:v>
      </x:c>
      <x:c r="F48" s="125" t="str">
        <x:v>1) Se registran actor, rol, campus, acción, entidad, identificador, fecha y resultado.
2) Aprobaciones, observaciones, cambios de estado, reasignaciones y descargas sensibles son auditables.
3) La bitácora no puede modificarse desde la aplicación.
4) El coordinador consulta su campus; el auditor consulta los tres campus.</x:v>
      </x:c>
      <x:c r="G48" s="148" t="str">
        <x:v>Alto</x:v>
      </x:c>
      <x:c r="H48" s="148" t="n">
        <x:v>5</x:v>
      </x:c>
      <x:c r="I48" s="148" t="str">
        <x:v>S7</x:v>
      </x:c>
      <x:c r="J48" s="148" t="str">
        <x:v>No iniciado</x:v>
      </x:c>
      <x:c r="K48" s="125" t="str">
        <x:v>HU-03; HU-17</x:v>
      </x:c>
      <x:c r="L48" s="126" t="str">
        <x:v>DEC-04</x:v>
      </x:c>
    </x:row>
    <x:row r="49" ht="84" customHeight="1">
      <x:c r="A49" s="144" t="str">
        <x:v>HU-45</x:v>
      </x:c>
      <x:c r="B49" s="147" t="str">
        <x:v>Monitoreo, auditoría y reportes</x:v>
      </x:c>
      <x:c r="C49" s="125" t="str">
        <x:v>Coordinador PPP</x:v>
      </x:c>
      <x:c r="D49" s="125" t="str">
        <x:v>importar únicamente prácticas activas desde una plantilla controlada</x:v>
      </x:c>
      <x:c r="E49" s="125" t="str">
        <x:v>iniciar el uso del sistema sin perder los casos que ya están en proceso</x:v>
      </x:c>
      <x:c r="F49" s="125" t="str">
        <x:v>1) La importación admite una plantilla definida con estudiante, empresa, práctica, estado y horas de avance.
2) Antes de confirmar se muestra una validación previa con filas válidas y errores.
3) Solo se migran prácticas activas; los históricos cerrados permanecen fuera de la migración inicial.
4) Cada registro importado conserva campus, identificador de origen y usuario de la carga.</x:v>
      </x:c>
      <x:c r="G49" s="148" t="str">
        <x:v>Medio</x:v>
      </x:c>
      <x:c r="H49" s="148" t="n">
        <x:v>8</x:v>
      </x:c>
      <x:c r="I49" s="148" t="str">
        <x:v>S7</x:v>
      </x:c>
      <x:c r="J49" s="148" t="str">
        <x:v>No iniciado</x:v>
      </x:c>
      <x:c r="K49" s="125" t="str">
        <x:v>HU-02; HU-10; HU-11</x:v>
      </x:c>
      <x:c r="L49" s="126" t="str">
        <x:v>DEC-07</x:v>
      </x:c>
    </x:row>
  </x:sheetData>
  <x:mergeCells>
    <x:mergeCell ref="A1:L1"/>
    <x:mergeCell ref="A2:L2"/>
  </x:mergeCells>
  <x:conditionalFormatting sqref="G5:G49">
    <x:cfRule type="containsText" dxfId="3" priority="1" operator="containsText" text="Alto"/>
    <x:cfRule type="containsText" dxfId="4" priority="2" operator="containsText" text="Medio"/>
    <x:cfRule type="containsText" dxfId="5" priority="3" operator="containsText" text="Bajo"/>
  </x:conditionalFormatting>
  <x:conditionalFormatting sqref="J5:J49">
    <x:cfRule type="containsText" dxfId="6" priority="4" operator="containsText" text="No iniciado"/>
    <x:cfRule type="containsText" dxfId="7" priority="5" operator="containsText" text="En curso"/>
    <x:cfRule type="containsText" dxfId="8" priority="6" operator="containsText" text="Bloqueado"/>
    <x:cfRule type="containsText" dxfId="9" priority="7" operator="containsText" text="Completado"/>
  </x:conditionalFormatting>
  <x:dataValidations count="4">
    <x:dataValidation type="list" sqref="G5:G49">
      <x:formula1>"Alto,Medio,Bajo"</x:formula1>
    </x:dataValidation>
    <x:dataValidation type="list" sqref="H5:H49">
      <x:formula1>"1,2,3,5,8,13,21"</x:formula1>
    </x:dataValidation>
    <x:dataValidation type="list" sqref="I5:I49">
      <x:formula1>"S0,S1,S2,S3,S4,S5,S6,S7"</x:formula1>
    </x:dataValidation>
    <x:dataValidation type="list" sqref="J5:J49">
      <x:formula1>"No iniciado,En curso,Bloqueado,Completado"</x:formula1>
    </x:dataValidation>
  </x:dataValidations>
  <x:pageMargins left="0.7" right="0.7" top="0.75" bottom="0.75" header="0.3" footer="0.3"/>
  <x:tableParts count="1">
    <x:tablePart xmlns:r="http://schemas.openxmlformats.org/officeDocument/2006/relationships" r:id="Rf095cd953e6c4c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30" hidden="0" customWidth="1"/>
    <x:col min="4" max="4" width="22" hidden="0" customWidth="1"/>
    <x:col min="5" max="5" width="88" hidden="0" customWidth="1"/>
    <x:col min="6" max="6" width="10" hidden="0" customWidth="1"/>
    <x:col min="7" max="7" width="12" hidden="0" customWidth="1"/>
    <x:col min="8" max="8" width="20" hidden="0" customWidth="1"/>
    <x:col min="9" max="9" width="15" hidden="0" customWidth="1"/>
  </x:cols>
  <x:sheetData>
    <x:row r="1" ht="34" customHeight="1">
      <x:c r="A1" s="99" t="str">
        <x:v>DESGLOSE TÉCNICO DEL BACKLOG</x:v>
      </x:c>
      <x:c r="B1" s="99"/>
      <x:c r="C1" s="99"/>
      <x:c r="D1" s="99"/>
      <x:c r="E1" s="99"/>
      <x:c r="F1" s="99"/>
      <x:c r="G1" s="99"/>
      <x:c r="H1" s="99"/>
      <x:c r="I1" s="99"/>
    </x:row>
    <x:row r="2" ht="30" customHeight="1">
      <x:c r="A2" s="100" t="str">
        <x:v>Cuatro tareas base por historia: modelamiento, backend, frontend web y pruebas. No se incluye Flutter ni desarrollo móvil nativo.</x:v>
      </x:c>
      <x:c r="B2" s="100"/>
      <x:c r="C2" s="100"/>
      <x:c r="D2" s="100"/>
      <x:c r="E2" s="100"/>
      <x:c r="F2" s="100"/>
      <x:c r="G2" s="100"/>
      <x:c r="H2" s="100"/>
      <x:c r="I2" s="100"/>
    </x:row>
    <x:row r="3">
      <x:c r="A3" s="101"/>
      <x:c r="B3" s="101"/>
      <x:c r="C3" s="101"/>
      <x:c r="D3" s="101"/>
      <x:c r="E3" s="101"/>
      <x:c r="F3" s="101"/>
      <x:c r="G3" s="101"/>
      <x:c r="H3" s="101"/>
      <x:c r="I3" s="101"/>
    </x:row>
    <x:row r="4" ht="32" customHeight="1">
      <x:c r="A4" s="113" t="str">
        <x:v>ID tarea</x:v>
      </x:c>
      <x:c r="B4" s="113" t="str">
        <x:v>HU</x:v>
      </x:c>
      <x:c r="C4" s="113" t="str">
        <x:v>Épica</x:v>
      </x:c>
      <x:c r="D4" s="113" t="str">
        <x:v>Tipo</x:v>
      </x:c>
      <x:c r="E4" s="113" t="str">
        <x:v>Tarea</x:v>
      </x:c>
      <x:c r="F4" s="113" t="str">
        <x:v>Sprint</x:v>
      </x:c>
      <x:c r="G4" s="113" t="str">
        <x:v>Prioridad</x:v>
      </x:c>
      <x:c r="H4" s="113" t="str">
        <x:v>Responsable</x:v>
      </x:c>
      <x:c r="I4" s="113" t="str">
        <x:v>Estado</x:v>
      </x:c>
    </x:row>
    <x:row r="5" ht="42" customHeight="1">
      <x:c r="A5" s="159" t="str">
        <x:v>TK-001</x:v>
      </x:c>
      <x:c r="B5" s="146" t="str">
        <x:v>HU-01</x:v>
      </x:c>
      <x:c r="C5" s="122" t="str">
        <x:v>Acceso y estructura institucional</x:v>
      </x:c>
      <x:c r="D5" s="122" t="str">
        <x:v>Modelamiento</x:v>
      </x:c>
      <x:c r="E5" s="122" t="str">
        <x:v>Definir usuarios, identidades externas, sesiones y dominios institucionales permitidos.</x:v>
      </x:c>
      <x:c r="F5" s="146" t="str">
        <x:v>S0</x:v>
      </x:c>
      <x:c r="G5" s="146" t="str">
        <x:v>Alto</x:v>
      </x:c>
      <x:c r="H5" s="146" t="str"/>
      <x:c r="I5" s="160" t="str">
        <x:v>No iniciado</x:v>
      </x:c>
    </x:row>
    <x:row r="6" ht="42" customHeight="1">
      <x:c r="A6" s="161" t="str">
        <x:v>TK-002</x:v>
      </x:c>
      <x:c r="B6" s="148" t="str">
        <x:v>HU-01</x:v>
      </x:c>
      <x:c r="C6" s="125" t="str">
        <x:v>Acceso y estructura institucional</x:v>
      </x:c>
      <x:c r="D6" s="125" t="str">
        <x:v>Desarrollo (Backend)</x:v>
      </x:c>
      <x:c r="E6" s="125" t="str">
        <x:v>Implementar autenticación institucional, creación/vinculación de cuenta y cierre seguro de sesión.</x:v>
      </x:c>
      <x:c r="F6" s="148" t="str">
        <x:v>S0</x:v>
      </x:c>
      <x:c r="G6" s="148" t="str">
        <x:v>Alto</x:v>
      </x:c>
      <x:c r="H6" s="148" t="str"/>
      <x:c r="I6" s="162" t="str">
        <x:v>No iniciado</x:v>
      </x:c>
    </x:row>
    <x:row r="7" ht="42" customHeight="1">
      <x:c r="A7" s="161" t="str">
        <x:v>TK-003</x:v>
      </x:c>
      <x:c r="B7" s="148" t="str">
        <x:v>HU-01</x:v>
      </x:c>
      <x:c r="C7" s="125" t="str">
        <x:v>Acceso y estructura institucional</x:v>
      </x:c>
      <x:c r="D7" s="125" t="str">
        <x:v>Desarrollo (Frontend)</x:v>
      </x:c>
      <x:c r="E7" s="125" t="str">
        <x:v>Construir la pantalla web de acceso, errores de dominio y recuperación de sesión.</x:v>
      </x:c>
      <x:c r="F7" s="148" t="str">
        <x:v>S0</x:v>
      </x:c>
      <x:c r="G7" s="148" t="str">
        <x:v>Alto</x:v>
      </x:c>
      <x:c r="H7" s="148" t="str"/>
      <x:c r="I7" s="162" t="str">
        <x:v>No iniciado</x:v>
      </x:c>
    </x:row>
    <x:row r="8" ht="42" customHeight="1">
      <x:c r="A8" s="161" t="str">
        <x:v>TK-004</x:v>
      </x:c>
      <x:c r="B8" s="148" t="str">
        <x:v>HU-01</x:v>
      </x:c>
      <x:c r="C8" s="125" t="str">
        <x:v>Acceso y estructura institucional</x:v>
      </x:c>
      <x:c r="D8" s="125" t="str">
        <x:v>Testing</x:v>
      </x:c>
      <x:c r="E8" s="125" t="str">
        <x:v>Probar dominio permitido/no permitido, cuenta duplicada, expiración y acceso sin sesión.</x:v>
      </x:c>
      <x:c r="F8" s="148" t="str">
        <x:v>S0</x:v>
      </x:c>
      <x:c r="G8" s="148" t="str">
        <x:v>Alto</x:v>
      </x:c>
      <x:c r="H8" s="148" t="str"/>
      <x:c r="I8" s="162" t="str">
        <x:v>No iniciado</x:v>
      </x:c>
    </x:row>
    <x:row r="9" ht="42" customHeight="1">
      <x:c r="A9" s="161" t="str">
        <x:v>TK-005</x:v>
      </x:c>
      <x:c r="B9" s="148" t="str">
        <x:v>HU-02</x:v>
      </x:c>
      <x:c r="C9" s="125" t="str">
        <x:v>Acceso y estructura institucional</x:v>
      </x:c>
      <x:c r="D9" s="125" t="str">
        <x:v>Modelamiento</x:v>
      </x:c>
      <x:c r="E9" s="125" t="str">
        <x:v>Modelar perfil de estudiante y afiliación a campus/escuela sin acoplarlo a Lamb.</x:v>
      </x:c>
      <x:c r="F9" s="148" t="str">
        <x:v>S0</x:v>
      </x:c>
      <x:c r="G9" s="148" t="str">
        <x:v>Alto</x:v>
      </x:c>
      <x:c r="H9" s="148" t="str"/>
      <x:c r="I9" s="162" t="str">
        <x:v>No iniciado</x:v>
      </x:c>
    </x:row>
    <x:row r="10" ht="42" customHeight="1">
      <x:c r="A10" s="161" t="str">
        <x:v>TK-006</x:v>
      </x:c>
      <x:c r="B10" s="148" t="str">
        <x:v>HU-02</x:v>
      </x:c>
      <x:c r="C10" s="125" t="str">
        <x:v>Acceso y estructura institucional</x:v>
      </x:c>
      <x:c r="D10" s="125" t="str">
        <x:v>Desarrollo (Backend)</x:v>
      </x:c>
      <x:c r="E10" s="125" t="str">
        <x:v>Crear servicios de alta, consulta y actualización controlada del perfil.</x:v>
      </x:c>
      <x:c r="F10" s="148" t="str">
        <x:v>S0</x:v>
      </x:c>
      <x:c r="G10" s="148" t="str">
        <x:v>Alto</x:v>
      </x:c>
      <x:c r="H10" s="148" t="str"/>
      <x:c r="I10" s="162" t="str">
        <x:v>No iniciado</x:v>
      </x:c>
    </x:row>
    <x:row r="11" ht="42" customHeight="1">
      <x:c r="A11" s="161" t="str">
        <x:v>TK-007</x:v>
      </x:c>
      <x:c r="B11" s="148" t="str">
        <x:v>HU-02</x:v>
      </x:c>
      <x:c r="C11" s="125" t="str">
        <x:v>Acceso y estructura institucional</x:v>
      </x:c>
      <x:c r="D11" s="125" t="str">
        <x:v>Desarrollo (Frontend)</x:v>
      </x:c>
      <x:c r="E11" s="125" t="str">
        <x:v>Implementar asistente de primer acceso y pantalla de perfil responsive.</x:v>
      </x:c>
      <x:c r="F11" s="148" t="str">
        <x:v>S0</x:v>
      </x:c>
      <x:c r="G11" s="148" t="str">
        <x:v>Alto</x:v>
      </x:c>
      <x:c r="H11" s="148" t="str"/>
      <x:c r="I11" s="162" t="str">
        <x:v>No iniciado</x:v>
      </x:c>
    </x:row>
    <x:row r="12" ht="42" customHeight="1">
      <x:c r="A12" s="161" t="str">
        <x:v>TK-008</x:v>
      </x:c>
      <x:c r="B12" s="148" t="str">
        <x:v>HU-02</x:v>
      </x:c>
      <x:c r="C12" s="125" t="str">
        <x:v>Acceso y estructura institucional</x:v>
      </x:c>
      <x:c r="D12" s="125" t="str">
        <x:v>Testing</x:v>
      </x:c>
      <x:c r="E12" s="125" t="str">
        <x:v>Validar campos obligatorios, catálogos, bloqueo por perfil incompleto y auditoría de cambios.</x:v>
      </x:c>
      <x:c r="F12" s="148" t="str">
        <x:v>S0</x:v>
      </x:c>
      <x:c r="G12" s="148" t="str">
        <x:v>Alto</x:v>
      </x:c>
      <x:c r="H12" s="148" t="str"/>
      <x:c r="I12" s="162" t="str">
        <x:v>No iniciado</x:v>
      </x:c>
    </x:row>
    <x:row r="13" ht="42" customHeight="1">
      <x:c r="A13" s="161" t="str">
        <x:v>TK-009</x:v>
      </x:c>
      <x:c r="B13" s="148" t="str">
        <x:v>HU-03</x:v>
      </x:c>
      <x:c r="C13" s="125" t="str">
        <x:v>Acceso y estructura institucional</x:v>
      </x:c>
      <x:c r="D13" s="125" t="str">
        <x:v>Modelamiento</x:v>
      </x:c>
      <x:c r="E13" s="125" t="str">
        <x:v>Definir roles, permisos, ámbitos por campus y relaciones de asignación.</x:v>
      </x:c>
      <x:c r="F13" s="148" t="str">
        <x:v>S0</x:v>
      </x:c>
      <x:c r="G13" s="148" t="str">
        <x:v>Alto</x:v>
      </x:c>
      <x:c r="H13" s="148" t="str"/>
      <x:c r="I13" s="162" t="str">
        <x:v>No iniciado</x:v>
      </x:c>
    </x:row>
    <x:row r="14" ht="42" customHeight="1">
      <x:c r="A14" s="161" t="str">
        <x:v>TK-010</x:v>
      </x:c>
      <x:c r="B14" s="148" t="str">
        <x:v>HU-03</x:v>
      </x:c>
      <x:c r="C14" s="125" t="str">
        <x:v>Acceso y estructura institucional</x:v>
      </x:c>
      <x:c r="D14" s="125" t="str">
        <x:v>Desarrollo (Backend)</x:v>
      </x:c>
      <x:c r="E14" s="125" t="str">
        <x:v>Implementar autorización por recurso y campus con respuesta 403 ante accesos indebidos.</x:v>
      </x:c>
      <x:c r="F14" s="148" t="str">
        <x:v>S0</x:v>
      </x:c>
      <x:c r="G14" s="148" t="str">
        <x:v>Alto</x:v>
      </x:c>
      <x:c r="H14" s="148" t="str"/>
      <x:c r="I14" s="162" t="str">
        <x:v>No iniciado</x:v>
      </x:c>
    </x:row>
    <x:row r="15" ht="42" customHeight="1">
      <x:c r="A15" s="161" t="str">
        <x:v>TK-011</x:v>
      </x:c>
      <x:c r="B15" s="148" t="str">
        <x:v>HU-03</x:v>
      </x:c>
      <x:c r="C15" s="125" t="str">
        <x:v>Acceso y estructura institucional</x:v>
      </x:c>
      <x:c r="D15" s="125" t="str">
        <x:v>Desarrollo (Frontend)</x:v>
      </x:c>
      <x:c r="E15" s="125" t="str">
        <x:v>Configurar navegación y acciones visibles según rol y ámbito.</x:v>
      </x:c>
      <x:c r="F15" s="148" t="str">
        <x:v>S0</x:v>
      </x:c>
      <x:c r="G15" s="148" t="str">
        <x:v>Alto</x:v>
      </x:c>
      <x:c r="H15" s="148" t="str"/>
      <x:c r="I15" s="162" t="str">
        <x:v>No iniciado</x:v>
      </x:c>
    </x:row>
    <x:row r="16" ht="42" customHeight="1">
      <x:c r="A16" s="161" t="str">
        <x:v>TK-012</x:v>
      </x:c>
      <x:c r="B16" s="148" t="str">
        <x:v>HU-03</x:v>
      </x:c>
      <x:c r="C16" s="125" t="str">
        <x:v>Acceso y estructura institucional</x:v>
      </x:c>
      <x:c r="D16" s="125" t="str">
        <x:v>Testing</x:v>
      </x:c>
      <x:c r="E16" s="125" t="str">
        <x:v>Ejecutar matriz de pruebas de acceso cruzado entre roles, campus y expedientes.</x:v>
      </x:c>
      <x:c r="F16" s="148" t="str">
        <x:v>S0</x:v>
      </x:c>
      <x:c r="G16" s="148" t="str">
        <x:v>Alto</x:v>
      </x:c>
      <x:c r="H16" s="148" t="str"/>
      <x:c r="I16" s="162" t="str">
        <x:v>No iniciado</x:v>
      </x:c>
    </x:row>
    <x:row r="17" ht="42" customHeight="1">
      <x:c r="A17" s="161" t="str">
        <x:v>TK-013</x:v>
      </x:c>
      <x:c r="B17" s="148" t="str">
        <x:v>HU-04</x:v>
      </x:c>
      <x:c r="C17" s="125" t="str">
        <x:v>Acceso y estructura institucional</x:v>
      </x:c>
      <x:c r="D17" s="125" t="str">
        <x:v>Modelamiento</x:v>
      </x:c>
      <x:c r="E17" s="125" t="str">
        <x:v>Crear catálogo de periodos con campus, fechas y estado.</x:v>
      </x:c>
      <x:c r="F17" s="148" t="str">
        <x:v>S1</x:v>
      </x:c>
      <x:c r="G17" s="148" t="str">
        <x:v>Medio</x:v>
      </x:c>
      <x:c r="H17" s="148" t="str"/>
      <x:c r="I17" s="162" t="str">
        <x:v>No iniciado</x:v>
      </x:c>
    </x:row>
    <x:row r="18" ht="42" customHeight="1">
      <x:c r="A18" s="161" t="str">
        <x:v>TK-014</x:v>
      </x:c>
      <x:c r="B18" s="148" t="str">
        <x:v>HU-04</x:v>
      </x:c>
      <x:c r="C18" s="125" t="str">
        <x:v>Acceso y estructura institucional</x:v>
      </x:c>
      <x:c r="D18" s="125" t="str">
        <x:v>Desarrollo (Backend)</x:v>
      </x:c>
      <x:c r="E18" s="125" t="str">
        <x:v>Implementar apertura/cierre y reglas de asociación de prácticas.</x:v>
      </x:c>
      <x:c r="F18" s="148" t="str">
        <x:v>S1</x:v>
      </x:c>
      <x:c r="G18" s="148" t="str">
        <x:v>Medio</x:v>
      </x:c>
      <x:c r="H18" s="148" t="str"/>
      <x:c r="I18" s="162" t="str">
        <x:v>No iniciado</x:v>
      </x:c>
    </x:row>
    <x:row r="19" ht="42" customHeight="1">
      <x:c r="A19" s="161" t="str">
        <x:v>TK-015</x:v>
      </x:c>
      <x:c r="B19" s="148" t="str">
        <x:v>HU-04</x:v>
      </x:c>
      <x:c r="C19" s="125" t="str">
        <x:v>Acceso y estructura institucional</x:v>
      </x:c>
      <x:c r="D19" s="125" t="str">
        <x:v>Desarrollo (Frontend)</x:v>
      </x:c>
      <x:c r="E19" s="125" t="str">
        <x:v>Desarrollar mantenimiento simple de periodos para el coordinador.</x:v>
      </x:c>
      <x:c r="F19" s="148" t="str">
        <x:v>S1</x:v>
      </x:c>
      <x:c r="G19" s="148" t="str">
        <x:v>Medio</x:v>
      </x:c>
      <x:c r="H19" s="148" t="str"/>
      <x:c r="I19" s="162" t="str">
        <x:v>No iniciado</x:v>
      </x:c>
    </x:row>
    <x:row r="20" ht="42" customHeight="1">
      <x:c r="A20" s="161" t="str">
        <x:v>TK-016</x:v>
      </x:c>
      <x:c r="B20" s="148" t="str">
        <x:v>HU-04</x:v>
      </x:c>
      <x:c r="C20" s="125" t="str">
        <x:v>Acceso y estructura institucional</x:v>
      </x:c>
      <x:c r="D20" s="125" t="str">
        <x:v>Testing</x:v>
      </x:c>
      <x:c r="E20" s="125" t="str">
        <x:v>Verificar apertura, cierre, asociación, filtros e inmutabilidad histórica.</x:v>
      </x:c>
      <x:c r="F20" s="148" t="str">
        <x:v>S1</x:v>
      </x:c>
      <x:c r="G20" s="148" t="str">
        <x:v>Medio</x:v>
      </x:c>
      <x:c r="H20" s="148" t="str"/>
      <x:c r="I20" s="162" t="str">
        <x:v>No iniciado</x:v>
      </x:c>
    </x:row>
    <x:row r="21" ht="42" customHeight="1">
      <x:c r="A21" s="161" t="str">
        <x:v>TK-017</x:v>
      </x:c>
      <x:c r="B21" s="148" t="str">
        <x:v>HU-05</x:v>
      </x:c>
      <x:c r="C21" s="125" t="str">
        <x:v>Carta de presentación</x:v>
      </x:c>
      <x:c r="D21" s="125" t="str">
        <x:v>Modelamiento</x:v>
      </x:c>
      <x:c r="E21" s="125" t="str">
        <x:v>Modelar solicitud de carta, destinatario, empresa objetivo y ciclo de estados.</x:v>
      </x:c>
      <x:c r="F21" s="148" t="str">
        <x:v>S1</x:v>
      </x:c>
      <x:c r="G21" s="148" t="str">
        <x:v>Alto</x:v>
      </x:c>
      <x:c r="H21" s="148" t="str"/>
      <x:c r="I21" s="162" t="str">
        <x:v>No iniciado</x:v>
      </x:c>
    </x:row>
    <x:row r="22" ht="42" customHeight="1">
      <x:c r="A22" s="161" t="str">
        <x:v>TK-018</x:v>
      </x:c>
      <x:c r="B22" s="148" t="str">
        <x:v>HU-05</x:v>
      </x:c>
      <x:c r="C22" s="125" t="str">
        <x:v>Carta de presentación</x:v>
      </x:c>
      <x:c r="D22" s="125" t="str">
        <x:v>Desarrollo (Backend)</x:v>
      </x:c>
      <x:c r="E22" s="125" t="str">
        <x:v>Crear servicios de borrador, validación y envío a la bandeja de Secretaría.</x:v>
      </x:c>
      <x:c r="F22" s="148" t="str">
        <x:v>S1</x:v>
      </x:c>
      <x:c r="G22" s="148" t="str">
        <x:v>Alto</x:v>
      </x:c>
      <x:c r="H22" s="148" t="str"/>
      <x:c r="I22" s="162" t="str">
        <x:v>No iniciado</x:v>
      </x:c>
    </x:row>
    <x:row r="23" ht="42" customHeight="1">
      <x:c r="A23" s="161" t="str">
        <x:v>TK-019</x:v>
      </x:c>
      <x:c r="B23" s="148" t="str">
        <x:v>HU-05</x:v>
      </x:c>
      <x:c r="C23" s="125" t="str">
        <x:v>Carta de presentación</x:v>
      </x:c>
      <x:c r="D23" s="125" t="str">
        <x:v>Desarrollo (Frontend)</x:v>
      </x:c>
      <x:c r="E23" s="125" t="str">
        <x:v>Construir formulario guiado con autocompletado del perfil y resumen previo al envío.</x:v>
      </x:c>
      <x:c r="F23" s="148" t="str">
        <x:v>S1</x:v>
      </x:c>
      <x:c r="G23" s="148" t="str">
        <x:v>Alto</x:v>
      </x:c>
      <x:c r="H23" s="148" t="str"/>
      <x:c r="I23" s="162" t="str">
        <x:v>No iniciado</x:v>
      </x:c>
    </x:row>
    <x:row r="24" ht="42" customHeight="1">
      <x:c r="A24" s="161" t="str">
        <x:v>TK-020</x:v>
      </x:c>
      <x:c r="B24" s="148" t="str">
        <x:v>HU-05</x:v>
      </x:c>
      <x:c r="C24" s="125" t="str">
        <x:v>Carta de presentación</x:v>
      </x:c>
      <x:c r="D24" s="125" t="str">
        <x:v>Testing</x:v>
      </x:c>
      <x:c r="E24" s="125" t="str">
        <x:v>Probar borrador, campos faltantes, envío válido y visibilidad por campus.</x:v>
      </x:c>
      <x:c r="F24" s="148" t="str">
        <x:v>S1</x:v>
      </x:c>
      <x:c r="G24" s="148" t="str">
        <x:v>Alto</x:v>
      </x:c>
      <x:c r="H24" s="148" t="str"/>
      <x:c r="I24" s="162" t="str">
        <x:v>No iniciado</x:v>
      </x:c>
    </x:row>
    <x:row r="25" ht="42" customHeight="1">
      <x:c r="A25" s="161" t="str">
        <x:v>TK-021</x:v>
      </x:c>
      <x:c r="B25" s="148" t="str">
        <x:v>HU-06</x:v>
      </x:c>
      <x:c r="C25" s="125" t="str">
        <x:v>Carta de presentación</x:v>
      </x:c>
      <x:c r="D25" s="125" t="str">
        <x:v>Modelamiento</x:v>
      </x:c>
      <x:c r="E25" s="125" t="str">
        <x:v>Definir plantillas versionadas, campos de combinación y numeración de cartas.</x:v>
      </x:c>
      <x:c r="F25" s="148" t="str">
        <x:v>S1</x:v>
      </x:c>
      <x:c r="G25" s="148" t="str">
        <x:v>Alto</x:v>
      </x:c>
      <x:c r="H25" s="148" t="str"/>
      <x:c r="I25" s="162" t="str">
        <x:v>No iniciado</x:v>
      </x:c>
    </x:row>
    <x:row r="26" ht="42" customHeight="1">
      <x:c r="A26" s="161" t="str">
        <x:v>TK-022</x:v>
      </x:c>
      <x:c r="B26" s="148" t="str">
        <x:v>HU-06</x:v>
      </x:c>
      <x:c r="C26" s="125" t="str">
        <x:v>Carta de presentación</x:v>
      </x:c>
      <x:c r="D26" s="125" t="str">
        <x:v>Desarrollo (Backend)</x:v>
      </x:c>
      <x:c r="E26" s="125" t="str">
        <x:v>Implementar motor de combinación y generación PDF para vista previa y versión final.</x:v>
      </x:c>
      <x:c r="F26" s="148" t="str">
        <x:v>S1</x:v>
      </x:c>
      <x:c r="G26" s="148" t="str">
        <x:v>Alto</x:v>
      </x:c>
      <x:c r="H26" s="148" t="str"/>
      <x:c r="I26" s="162" t="str">
        <x:v>No iniciado</x:v>
      </x:c>
    </x:row>
    <x:row r="27" ht="42" customHeight="1">
      <x:c r="A27" s="161" t="str">
        <x:v>TK-023</x:v>
      </x:c>
      <x:c r="B27" s="148" t="str">
        <x:v>HU-06</x:v>
      </x:c>
      <x:c r="C27" s="125" t="str">
        <x:v>Carta de presentación</x:v>
      </x:c>
      <x:c r="D27" s="125" t="str">
        <x:v>Desarrollo (Frontend)</x:v>
      </x:c>
      <x:c r="E27" s="125" t="str">
        <x:v>Integrar vista previa legible antes del envío y después de la aprobación.</x:v>
      </x:c>
      <x:c r="F27" s="148" t="str">
        <x:v>S1</x:v>
      </x:c>
      <x:c r="G27" s="148" t="str">
        <x:v>Alto</x:v>
      </x:c>
      <x:c r="H27" s="148" t="str"/>
      <x:c r="I27" s="162" t="str">
        <x:v>No iniciado</x:v>
      </x:c>
    </x:row>
    <x:row r="28" ht="42" customHeight="1">
      <x:c r="A28" s="161" t="str">
        <x:v>TK-024</x:v>
      </x:c>
      <x:c r="B28" s="148" t="str">
        <x:v>HU-06</x:v>
      </x:c>
      <x:c r="C28" s="125" t="str">
        <x:v>Carta de presentación</x:v>
      </x:c>
      <x:c r="D28" s="125" t="str">
        <x:v>Testing</x:v>
      </x:c>
      <x:c r="E28" s="125" t="str">
        <x:v>Comparar campos generados con la plantilla, caracteres especiales, numeración y versión usada.</x:v>
      </x:c>
      <x:c r="F28" s="148" t="str">
        <x:v>S1</x:v>
      </x:c>
      <x:c r="G28" s="148" t="str">
        <x:v>Alto</x:v>
      </x:c>
      <x:c r="H28" s="148" t="str"/>
      <x:c r="I28" s="162" t="str">
        <x:v>No iniciado</x:v>
      </x:c>
    </x:row>
    <x:row r="29" ht="42" customHeight="1">
      <x:c r="A29" s="161" t="str">
        <x:v>TK-025</x:v>
      </x:c>
      <x:c r="B29" s="148" t="str">
        <x:v>HU-07</x:v>
      </x:c>
      <x:c r="C29" s="125" t="str">
        <x:v>Carta de presentación</x:v>
      </x:c>
      <x:c r="D29" s="125" t="str">
        <x:v>Modelamiento</x:v>
      </x:c>
      <x:c r="E29" s="125" t="str">
        <x:v>Añadir revisión, comentario, responsable y marcas de aprobación a la solicitud.</x:v>
      </x:c>
      <x:c r="F29" s="148" t="str">
        <x:v>S1</x:v>
      </x:c>
      <x:c r="G29" s="148" t="str">
        <x:v>Alto</x:v>
      </x:c>
      <x:c r="H29" s="148" t="str"/>
      <x:c r="I29" s="162" t="str">
        <x:v>No iniciado</x:v>
      </x:c>
    </x:row>
    <x:row r="30" ht="42" customHeight="1">
      <x:c r="A30" s="161" t="str">
        <x:v>TK-026</x:v>
      </x:c>
      <x:c r="B30" s="148" t="str">
        <x:v>HU-07</x:v>
      </x:c>
      <x:c r="C30" s="125" t="str">
        <x:v>Carta de presentación</x:v>
      </x:c>
      <x:c r="D30" s="125" t="str">
        <x:v>Desarrollo (Backend)</x:v>
      </x:c>
      <x:c r="E30" s="125" t="str">
        <x:v>Crear bandeja filtrada y transiciones aprobar/observar con generación final atómica.</x:v>
      </x:c>
      <x:c r="F30" s="148" t="str">
        <x:v>S1</x:v>
      </x:c>
      <x:c r="G30" s="148" t="str">
        <x:v>Alto</x:v>
      </x:c>
      <x:c r="H30" s="148" t="str"/>
      <x:c r="I30" s="162" t="str">
        <x:v>No iniciado</x:v>
      </x:c>
    </x:row>
    <x:row r="31" ht="42" customHeight="1">
      <x:c r="A31" s="161" t="str">
        <x:v>TK-027</x:v>
      </x:c>
      <x:c r="B31" s="148" t="str">
        <x:v>HU-07</x:v>
      </x:c>
      <x:c r="C31" s="125" t="str">
        <x:v>Carta de presentación</x:v>
      </x:c>
      <x:c r="D31" s="125" t="str">
        <x:v>Desarrollo (Frontend)</x:v>
      </x:c>
      <x:c r="E31" s="125" t="str">
        <x:v>Diseñar panel de Secretaría con comparación de datos, vista previa y acciones controladas.</x:v>
      </x:c>
      <x:c r="F31" s="148" t="str">
        <x:v>S1</x:v>
      </x:c>
      <x:c r="G31" s="148" t="str">
        <x:v>Alto</x:v>
      </x:c>
      <x:c r="H31" s="148" t="str"/>
      <x:c r="I31" s="162" t="str">
        <x:v>No iniciado</x:v>
      </x:c>
    </x:row>
    <x:row r="32" ht="42" customHeight="1">
      <x:c r="A32" s="161" t="str">
        <x:v>TK-028</x:v>
      </x:c>
      <x:c r="B32" s="148" t="str">
        <x:v>HU-07</x:v>
      </x:c>
      <x:c r="C32" s="125" t="str">
        <x:v>Carta de presentación</x:v>
      </x:c>
      <x:c r="D32" s="125" t="str">
        <x:v>Testing</x:v>
      </x:c>
      <x:c r="E32" s="125" t="str">
        <x:v>Validar alcance por campus, comentario obligatorio, bloqueo y trazabilidad.</x:v>
      </x:c>
      <x:c r="F32" s="148" t="str">
        <x:v>S1</x:v>
      </x:c>
      <x:c r="G32" s="148" t="str">
        <x:v>Alto</x:v>
      </x:c>
      <x:c r="H32" s="148" t="str"/>
      <x:c r="I32" s="162" t="str">
        <x:v>No iniciado</x:v>
      </x:c>
    </x:row>
    <x:row r="33" ht="42" customHeight="1">
      <x:c r="A33" s="161" t="str">
        <x:v>TK-029</x:v>
      </x:c>
      <x:c r="B33" s="148" t="str">
        <x:v>HU-08</x:v>
      </x:c>
      <x:c r="C33" s="125" t="str">
        <x:v>Carta de presentación</x:v>
      </x:c>
      <x:c r="D33" s="125" t="str">
        <x:v>Modelamiento</x:v>
      </x:c>
      <x:c r="E33" s="125" t="str">
        <x:v>Relacionar versiones de solicitud y conservar la observación que originó la corrección.</x:v>
      </x:c>
      <x:c r="F33" s="148" t="str">
        <x:v>S1</x:v>
      </x:c>
      <x:c r="G33" s="148" t="str">
        <x:v>Alto</x:v>
      </x:c>
      <x:c r="H33" s="148" t="str"/>
      <x:c r="I33" s="162" t="str">
        <x:v>No iniciado</x:v>
      </x:c>
    </x:row>
    <x:row r="34" ht="42" customHeight="1">
      <x:c r="A34" s="161" t="str">
        <x:v>TK-030</x:v>
      </x:c>
      <x:c r="B34" s="148" t="str">
        <x:v>HU-08</x:v>
      </x:c>
      <x:c r="C34" s="125" t="str">
        <x:v>Carta de presentación</x:v>
      </x:c>
      <x:c r="D34" s="125" t="str">
        <x:v>Desarrollo (Backend)</x:v>
      </x:c>
      <x:c r="E34" s="125" t="str">
        <x:v>Implementar edición restringida, versionado y reenvío idempotente.</x:v>
      </x:c>
      <x:c r="F34" s="148" t="str">
        <x:v>S1</x:v>
      </x:c>
      <x:c r="G34" s="148" t="str">
        <x:v>Alto</x:v>
      </x:c>
      <x:c r="H34" s="148" t="str"/>
      <x:c r="I34" s="162" t="str">
        <x:v>No iniciado</x:v>
      </x:c>
    </x:row>
    <x:row r="35" ht="42" customHeight="1">
      <x:c r="A35" s="161" t="str">
        <x:v>TK-031</x:v>
      </x:c>
      <x:c r="B35" s="148" t="str">
        <x:v>HU-08</x:v>
      </x:c>
      <x:c r="C35" s="125" t="str">
        <x:v>Carta de presentación</x:v>
      </x:c>
      <x:c r="D35" s="125" t="str">
        <x:v>Desarrollo (Frontend)</x:v>
      </x:c>
      <x:c r="E35" s="125" t="str">
        <x:v>Mostrar comentario, campos editables y comparación con la versión anterior.</x:v>
      </x:c>
      <x:c r="F35" s="148" t="str">
        <x:v>S1</x:v>
      </x:c>
      <x:c r="G35" s="148" t="str">
        <x:v>Alto</x:v>
      </x:c>
      <x:c r="H35" s="148" t="str"/>
      <x:c r="I35" s="162" t="str">
        <x:v>No iniciado</x:v>
      </x:c>
    </x:row>
    <x:row r="36" ht="42" customHeight="1">
      <x:c r="A36" s="161" t="str">
        <x:v>TK-032</x:v>
      </x:c>
      <x:c r="B36" s="148" t="str">
        <x:v>HU-08</x:v>
      </x:c>
      <x:c r="C36" s="125" t="str">
        <x:v>Carta de presentación</x:v>
      </x:c>
      <x:c r="D36" s="125" t="str">
        <x:v>Testing</x:v>
      </x:c>
      <x:c r="E36" s="125" t="str">
        <x:v>Probar edición por estado, reenvío, concurrencia y bloqueo de aprobadas.</x:v>
      </x:c>
      <x:c r="F36" s="148" t="str">
        <x:v>S1</x:v>
      </x:c>
      <x:c r="G36" s="148" t="str">
        <x:v>Alto</x:v>
      </x:c>
      <x:c r="H36" s="148" t="str"/>
      <x:c r="I36" s="162" t="str">
        <x:v>No iniciado</x:v>
      </x:c>
    </x:row>
    <x:row r="37" ht="42" customHeight="1">
      <x:c r="A37" s="161" t="str">
        <x:v>TK-033</x:v>
      </x:c>
      <x:c r="B37" s="148" t="str">
        <x:v>HU-09</x:v>
      </x:c>
      <x:c r="C37" s="125" t="str">
        <x:v>Carta de presentación</x:v>
      </x:c>
      <x:c r="D37" s="125" t="str">
        <x:v>Modelamiento</x:v>
      </x:c>
      <x:c r="E37" s="125" t="str">
        <x:v>Registrar archivo final, hash, versión y metadatos de descarga.</x:v>
      </x:c>
      <x:c r="F37" s="148" t="str">
        <x:v>S1</x:v>
      </x:c>
      <x:c r="G37" s="148" t="str">
        <x:v>Alto</x:v>
      </x:c>
      <x:c r="H37" s="148" t="str"/>
      <x:c r="I37" s="162" t="str">
        <x:v>No iniciado</x:v>
      </x:c>
    </x:row>
    <x:row r="38" ht="42" customHeight="1">
      <x:c r="A38" s="161" t="str">
        <x:v>TK-034</x:v>
      </x:c>
      <x:c r="B38" s="148" t="str">
        <x:v>HU-09</x:v>
      </x:c>
      <x:c r="C38" s="125" t="str">
        <x:v>Carta de presentación</x:v>
      </x:c>
      <x:c r="D38" s="125" t="str">
        <x:v>Desarrollo (Backend)</x:v>
      </x:c>
      <x:c r="E38" s="125" t="str">
        <x:v>Servir el PDF mediante acceso privado y mantener historial de eventos.</x:v>
      </x:c>
      <x:c r="F38" s="148" t="str">
        <x:v>S1</x:v>
      </x:c>
      <x:c r="G38" s="148" t="str">
        <x:v>Alto</x:v>
      </x:c>
      <x:c r="H38" s="148" t="str"/>
      <x:c r="I38" s="162" t="str">
        <x:v>No iniciado</x:v>
      </x:c>
    </x:row>
    <x:row r="39" ht="42" customHeight="1">
      <x:c r="A39" s="161" t="str">
        <x:v>TK-035</x:v>
      </x:c>
      <x:c r="B39" s="148" t="str">
        <x:v>HU-09</x:v>
      </x:c>
      <x:c r="C39" s="125" t="str">
        <x:v>Carta de presentación</x:v>
      </x:c>
      <x:c r="D39" s="125" t="str">
        <x:v>Desarrollo (Frontend)</x:v>
      </x:c>
      <x:c r="E39" s="125" t="str">
        <x:v>Crear vista de estado, historial y descarga de la carta aprobada.</x:v>
      </x:c>
      <x:c r="F39" s="148" t="str">
        <x:v>S1</x:v>
      </x:c>
      <x:c r="G39" s="148" t="str">
        <x:v>Alto</x:v>
      </x:c>
      <x:c r="H39" s="148" t="str"/>
      <x:c r="I39" s="162" t="str">
        <x:v>No iniciado</x:v>
      </x:c>
    </x:row>
    <x:row r="40" ht="42" customHeight="1">
      <x:c r="A40" s="161" t="str">
        <x:v>TK-036</x:v>
      </x:c>
      <x:c r="B40" s="148" t="str">
        <x:v>HU-09</x:v>
      </x:c>
      <x:c r="C40" s="125" t="str">
        <x:v>Carta de presentación</x:v>
      </x:c>
      <x:c r="D40" s="125" t="str">
        <x:v>Testing</x:v>
      </x:c>
      <x:c r="E40" s="125" t="str">
        <x:v>Verificar propiedad, archivo íntegro, versión correcta y denegación a terceros.</x:v>
      </x:c>
      <x:c r="F40" s="148" t="str">
        <x:v>S1</x:v>
      </x:c>
      <x:c r="G40" s="148" t="str">
        <x:v>Alto</x:v>
      </x:c>
      <x:c r="H40" s="148" t="str"/>
      <x:c r="I40" s="162" t="str">
        <x:v>No iniciado</x:v>
      </x:c>
    </x:row>
    <x:row r="41" ht="42" customHeight="1">
      <x:c r="A41" s="161" t="str">
        <x:v>TK-037</x:v>
      </x:c>
      <x:c r="B41" s="148" t="str">
        <x:v>HU-10</x:v>
      </x:c>
      <x:c r="C41" s="125" t="str">
        <x:v>Formalización de la práctica</x:v>
      </x:c>
      <x:c r="D41" s="125" t="str">
        <x:v>Modelamiento</x:v>
      </x:c>
      <x:c r="E41" s="125" t="str">
        <x:v>Modelar empresa reutilizable, representante, contactos y área de práctica.</x:v>
      </x:c>
      <x:c r="F41" s="148" t="str">
        <x:v>S2</x:v>
      </x:c>
      <x:c r="G41" s="148" t="str">
        <x:v>Alto</x:v>
      </x:c>
      <x:c r="H41" s="148" t="str"/>
      <x:c r="I41" s="162" t="str">
        <x:v>No iniciado</x:v>
      </x:c>
    </x:row>
    <x:row r="42" ht="42" customHeight="1">
      <x:c r="A42" s="161" t="str">
        <x:v>TK-038</x:v>
      </x:c>
      <x:c r="B42" s="148" t="str">
        <x:v>HU-10</x:v>
      </x:c>
      <x:c r="C42" s="125" t="str">
        <x:v>Formalización de la práctica</x:v>
      </x:c>
      <x:c r="D42" s="125" t="str">
        <x:v>Desarrollo (Backend)</x:v>
      </x:c>
      <x:c r="E42" s="125" t="str">
        <x:v>Implementar búsqueda por RUC, alta controlada y actualización con historial.</x:v>
      </x:c>
      <x:c r="F42" s="148" t="str">
        <x:v>S2</x:v>
      </x:c>
      <x:c r="G42" s="148" t="str">
        <x:v>Alto</x:v>
      </x:c>
      <x:c r="H42" s="148" t="str"/>
      <x:c r="I42" s="162" t="str">
        <x:v>No iniciado</x:v>
      </x:c>
    </x:row>
    <x:row r="43" ht="42" customHeight="1">
      <x:c r="A43" s="161" t="str">
        <x:v>TK-039</x:v>
      </x:c>
      <x:c r="B43" s="148" t="str">
        <x:v>HU-10</x:v>
      </x:c>
      <x:c r="C43" s="125" t="str">
        <x:v>Formalización de la práctica</x:v>
      </x:c>
      <x:c r="D43" s="125" t="str">
        <x:v>Desarrollo (Frontend)</x:v>
      </x:c>
      <x:c r="E43" s="125" t="str">
        <x:v>Construir buscador y formulario de empresa con prevención de duplicados.</x:v>
      </x:c>
      <x:c r="F43" s="148" t="str">
        <x:v>S2</x:v>
      </x:c>
      <x:c r="G43" s="148" t="str">
        <x:v>Alto</x:v>
      </x:c>
      <x:c r="H43" s="148" t="str"/>
      <x:c r="I43" s="162" t="str">
        <x:v>No iniciado</x:v>
      </x:c>
    </x:row>
    <x:row r="44" ht="42" customHeight="1">
      <x:c r="A44" s="161" t="str">
        <x:v>TK-040</x:v>
      </x:c>
      <x:c r="B44" s="148" t="str">
        <x:v>HU-10</x:v>
      </x:c>
      <x:c r="C44" s="125" t="str">
        <x:v>Formalización de la práctica</x:v>
      </x:c>
      <x:c r="D44" s="125" t="str">
        <x:v>Testing</x:v>
      </x:c>
      <x:c r="E44" s="125" t="str">
        <x:v>Probar RUC válido, empresa existente, empresa extranjera y cambios auditados.</x:v>
      </x:c>
      <x:c r="F44" s="148" t="str">
        <x:v>S2</x:v>
      </x:c>
      <x:c r="G44" s="148" t="str">
        <x:v>Alto</x:v>
      </x:c>
      <x:c r="H44" s="148" t="str"/>
      <x:c r="I44" s="162" t="str">
        <x:v>No iniciado</x:v>
      </x:c>
    </x:row>
    <x:row r="45" ht="42" customHeight="1">
      <x:c r="A45" s="161" t="str">
        <x:v>TK-041</x:v>
      </x:c>
      <x:c r="B45" s="148" t="str">
        <x:v>HU-11</x:v>
      </x:c>
      <x:c r="C45" s="125" t="str">
        <x:v>Formalización de la práctica</x:v>
      </x:c>
      <x:c r="D45" s="125" t="str">
        <x:v>Modelamiento</x:v>
      </x:c>
      <x:c r="E45" s="125" t="str">
        <x:v>Diseñar práctica/expediente y sus relaciones con persona, empresa, periodo y carta.</x:v>
      </x:c>
      <x:c r="F45" s="148" t="str">
        <x:v>S2</x:v>
      </x:c>
      <x:c r="G45" s="148" t="str">
        <x:v>Alto</x:v>
      </x:c>
      <x:c r="H45" s="148" t="str"/>
      <x:c r="I45" s="162" t="str">
        <x:v>No iniciado</x:v>
      </x:c>
    </x:row>
    <x:row r="46" ht="42" customHeight="1">
      <x:c r="A46" s="161" t="str">
        <x:v>TK-042</x:v>
      </x:c>
      <x:c r="B46" s="148" t="str">
        <x:v>HU-11</x:v>
      </x:c>
      <x:c r="C46" s="125" t="str">
        <x:v>Formalización de la práctica</x:v>
      </x:c>
      <x:c r="D46" s="125" t="str">
        <x:v>Desarrollo (Backend)</x:v>
      </x:c>
      <x:c r="E46" s="125" t="str">
        <x:v>Crear alta y edición controlada antes de la autorización.</x:v>
      </x:c>
      <x:c r="F46" s="148" t="str">
        <x:v>S2</x:v>
      </x:c>
      <x:c r="G46" s="148" t="str">
        <x:v>Alto</x:v>
      </x:c>
      <x:c r="H46" s="148" t="str"/>
      <x:c r="I46" s="162" t="str">
        <x:v>No iniciado</x:v>
      </x:c>
    </x:row>
    <x:row r="47" ht="42" customHeight="1">
      <x:c r="A47" s="161" t="str">
        <x:v>TK-043</x:v>
      </x:c>
      <x:c r="B47" s="148" t="str">
        <x:v>HU-11</x:v>
      </x:c>
      <x:c r="C47" s="125" t="str">
        <x:v>Formalización de la práctica</x:v>
      </x:c>
      <x:c r="D47" s="125" t="str">
        <x:v>Desarrollo (Frontend)</x:v>
      </x:c>
      <x:c r="E47" s="125" t="str">
        <x:v>Implementar formulario de práctica y resumen del expediente.</x:v>
      </x:c>
      <x:c r="F47" s="148" t="str">
        <x:v>S2</x:v>
      </x:c>
      <x:c r="G47" s="148" t="str">
        <x:v>Alto</x:v>
      </x:c>
      <x:c r="H47" s="148" t="str"/>
      <x:c r="I47" s="162" t="str">
        <x:v>No iniciado</x:v>
      </x:c>
    </x:row>
    <x:row r="48" ht="42" customHeight="1">
      <x:c r="A48" s="161" t="str">
        <x:v>TK-044</x:v>
      </x:c>
      <x:c r="B48" s="148" t="str">
        <x:v>HU-11</x:v>
      </x:c>
      <x:c r="C48" s="125" t="str">
        <x:v>Formalización de la práctica</x:v>
      </x:c>
      <x:c r="D48" s="125" t="str">
        <x:v>Testing</x:v>
      </x:c>
      <x:c r="E48" s="125" t="str">
        <x:v>Validar datos obligatorios, relaciones, estados iniciales y cambio de empresa.</x:v>
      </x:c>
      <x:c r="F48" s="148" t="str">
        <x:v>S2</x:v>
      </x:c>
      <x:c r="G48" s="148" t="str">
        <x:v>Alto</x:v>
      </x:c>
      <x:c r="H48" s="148" t="str"/>
      <x:c r="I48" s="162" t="str">
        <x:v>No iniciado</x:v>
      </x:c>
    </x:row>
    <x:row r="49" ht="42" customHeight="1">
      <x:c r="A49" s="161" t="str">
        <x:v>TK-045</x:v>
      </x:c>
      <x:c r="B49" s="148" t="str">
        <x:v>HU-12</x:v>
      </x:c>
      <x:c r="C49" s="125" t="str">
        <x:v>Formalización de la práctica</x:v>
      </x:c>
      <x:c r="D49" s="125" t="str">
        <x:v>Modelamiento</x:v>
      </x:c>
      <x:c r="E49" s="125" t="str">
        <x:v>Permitir relación uno-a-muchos estudiante-práctica y vista agregada de horas.</x:v>
      </x:c>
      <x:c r="F49" s="148" t="str">
        <x:v>S2</x:v>
      </x:c>
      <x:c r="G49" s="148" t="str">
        <x:v>Alto</x:v>
      </x:c>
      <x:c r="H49" s="148" t="str"/>
      <x:c r="I49" s="162" t="str">
        <x:v>No iniciado</x:v>
      </x:c>
    </x:row>
    <x:row r="50" ht="42" customHeight="1">
      <x:c r="A50" s="161" t="str">
        <x:v>TK-046</x:v>
      </x:c>
      <x:c r="B50" s="148" t="str">
        <x:v>HU-12</x:v>
      </x:c>
      <x:c r="C50" s="125" t="str">
        <x:v>Formalización de la práctica</x:v>
      </x:c>
      <x:c r="D50" s="125" t="str">
        <x:v>Desarrollo (Backend)</x:v>
      </x:c>
      <x:c r="E50" s="125" t="str">
        <x:v>Implementar consultas por expediente y agregación segura de horas validadas.</x:v>
      </x:c>
      <x:c r="F50" s="148" t="str">
        <x:v>S2</x:v>
      </x:c>
      <x:c r="G50" s="148" t="str">
        <x:v>Alto</x:v>
      </x:c>
      <x:c r="H50" s="148" t="str"/>
      <x:c r="I50" s="162" t="str">
        <x:v>No iniciado</x:v>
      </x:c>
    </x:row>
    <x:row r="51" ht="42" customHeight="1">
      <x:c r="A51" s="161" t="str">
        <x:v>TK-047</x:v>
      </x:c>
      <x:c r="B51" s="148" t="str">
        <x:v>HU-12</x:v>
      </x:c>
      <x:c r="C51" s="125" t="str">
        <x:v>Formalización de la práctica</x:v>
      </x:c>
      <x:c r="D51" s="125" t="str">
        <x:v>Desarrollo (Frontend)</x:v>
      </x:c>
      <x:c r="E51" s="125" t="str">
        <x:v>Crear selector de práctica y tarjeta de progreso consolidado.</x:v>
      </x:c>
      <x:c r="F51" s="148" t="str">
        <x:v>S2</x:v>
      </x:c>
      <x:c r="G51" s="148" t="str">
        <x:v>Alto</x:v>
      </x:c>
      <x:c r="H51" s="148" t="str"/>
      <x:c r="I51" s="162" t="str">
        <x:v>No iniciado</x:v>
      </x:c>
    </x:row>
    <x:row r="52" ht="42" customHeight="1">
      <x:c r="A52" s="161" t="str">
        <x:v>TK-048</x:v>
      </x:c>
      <x:c r="B52" s="148" t="str">
        <x:v>HU-12</x:v>
      </x:c>
      <x:c r="C52" s="125" t="str">
        <x:v>Formalización de la práctica</x:v>
      </x:c>
      <x:c r="D52" s="125" t="str">
        <x:v>Testing</x:v>
      </x:c>
      <x:c r="E52" s="125" t="str">
        <x:v>Probar dos o más prácticas, solapamientos, aislamiento documental y suma total.</x:v>
      </x:c>
      <x:c r="F52" s="148" t="str">
        <x:v>S2</x:v>
      </x:c>
      <x:c r="G52" s="148" t="str">
        <x:v>Alto</x:v>
      </x:c>
      <x:c r="H52" s="148" t="str"/>
      <x:c r="I52" s="162" t="str">
        <x:v>No iniciado</x:v>
      </x:c>
    </x:row>
    <x:row r="53" ht="42" customHeight="1">
      <x:c r="A53" s="161" t="str">
        <x:v>TK-049</x:v>
      </x:c>
      <x:c r="B53" s="148" t="str">
        <x:v>HU-13</x:v>
      </x:c>
      <x:c r="C53" s="125" t="str">
        <x:v>Formalización de la práctica</x:v>
      </x:c>
      <x:c r="D53" s="125" t="str">
        <x:v>Modelamiento</x:v>
      </x:c>
      <x:c r="E53" s="125" t="str">
        <x:v>Definir catálogo de requisitos por etapa y regla de aplicabilidad.</x:v>
      </x:c>
      <x:c r="F53" s="148" t="str">
        <x:v>S2</x:v>
      </x:c>
      <x:c r="G53" s="148" t="str">
        <x:v>Alto</x:v>
      </x:c>
      <x:c r="H53" s="148" t="str"/>
      <x:c r="I53" s="162" t="str">
        <x:v>No iniciado</x:v>
      </x:c>
    </x:row>
    <x:row r="54" ht="42" customHeight="1">
      <x:c r="A54" s="161" t="str">
        <x:v>TK-050</x:v>
      </x:c>
      <x:c r="B54" s="148" t="str">
        <x:v>HU-13</x:v>
      </x:c>
      <x:c r="C54" s="125" t="str">
        <x:v>Formalización de la práctica</x:v>
      </x:c>
      <x:c r="D54" s="125" t="str">
        <x:v>Desarrollo (Backend)</x:v>
      </x:c>
      <x:c r="E54" s="125" t="str">
        <x:v>Calcular checklist y bloqueos a partir del estado real del expediente.</x:v>
      </x:c>
      <x:c r="F54" s="148" t="str">
        <x:v>S2</x:v>
      </x:c>
      <x:c r="G54" s="148" t="str">
        <x:v>Alto</x:v>
      </x:c>
      <x:c r="H54" s="148" t="str"/>
      <x:c r="I54" s="162" t="str">
        <x:v>No iniciado</x:v>
      </x:c>
    </x:row>
    <x:row r="55" ht="42" customHeight="1">
      <x:c r="A55" s="161" t="str">
        <x:v>TK-051</x:v>
      </x:c>
      <x:c r="B55" s="148" t="str">
        <x:v>HU-13</x:v>
      </x:c>
      <x:c r="C55" s="125" t="str">
        <x:v>Formalización de la práctica</x:v>
      </x:c>
      <x:c r="D55" s="125" t="str">
        <x:v>Desarrollo (Frontend)</x:v>
      </x:c>
      <x:c r="E55" s="125" t="str">
        <x:v>Diseñar línea de etapas y lista de pendientes/observaciones.</x:v>
      </x:c>
      <x:c r="F55" s="148" t="str">
        <x:v>S2</x:v>
      </x:c>
      <x:c r="G55" s="148" t="str">
        <x:v>Alto</x:v>
      </x:c>
      <x:c r="H55" s="148" t="str"/>
      <x:c r="I55" s="162" t="str">
        <x:v>No iniciado</x:v>
      </x:c>
    </x:row>
    <x:row r="56" ht="42" customHeight="1">
      <x:c r="A56" s="161" t="str">
        <x:v>TK-052</x:v>
      </x:c>
      <x:c r="B56" s="148" t="str">
        <x:v>HU-13</x:v>
      </x:c>
      <x:c r="C56" s="125" t="str">
        <x:v>Formalización de la práctica</x:v>
      </x:c>
      <x:c r="D56" s="125" t="str">
        <x:v>Testing</x:v>
      </x:c>
      <x:c r="E56" s="125" t="str">
        <x:v>Contrastar checklist con combinaciones de documentos y reglas condicionales.</x:v>
      </x:c>
      <x:c r="F56" s="148" t="str">
        <x:v>S2</x:v>
      </x:c>
      <x:c r="G56" s="148" t="str">
        <x:v>Alto</x:v>
      </x:c>
      <x:c r="H56" s="148" t="str"/>
      <x:c r="I56" s="162" t="str">
        <x:v>No iniciado</x:v>
      </x:c>
    </x:row>
    <x:row r="57" ht="42" customHeight="1">
      <x:c r="A57" s="161" t="str">
        <x:v>TK-053</x:v>
      </x:c>
      <x:c r="B57" s="148" t="str">
        <x:v>HU-14</x:v>
      </x:c>
      <x:c r="C57" s="125" t="str">
        <x:v>Formalización de la práctica</x:v>
      </x:c>
      <x:c r="D57" s="125" t="str">
        <x:v>Modelamiento</x:v>
      </x:c>
      <x:c r="E57" s="125" t="str">
        <x:v>Definir documento, tipo, expediente, archivo, versión y estado.</x:v>
      </x:c>
      <x:c r="F57" s="148" t="str">
        <x:v>S3</x:v>
      </x:c>
      <x:c r="G57" s="148" t="str">
        <x:v>Alto</x:v>
      </x:c>
      <x:c r="H57" s="148" t="str"/>
      <x:c r="I57" s="162" t="str">
        <x:v>No iniciado</x:v>
      </x:c>
    </x:row>
    <x:row r="58" ht="42" customHeight="1">
      <x:c r="A58" s="161" t="str">
        <x:v>TK-054</x:v>
      </x:c>
      <x:c r="B58" s="148" t="str">
        <x:v>HU-14</x:v>
      </x:c>
      <x:c r="C58" s="125" t="str">
        <x:v>Formalización de la práctica</x:v>
      </x:c>
      <x:c r="D58" s="125" t="str">
        <x:v>Desarrollo (Backend)</x:v>
      </x:c>
      <x:c r="E58" s="125" t="str">
        <x:v>Implementar carga privada por tipo documental y control de reemplazo.</x:v>
      </x:c>
      <x:c r="F58" s="148" t="str">
        <x:v>S3</x:v>
      </x:c>
      <x:c r="G58" s="148" t="str">
        <x:v>Alto</x:v>
      </x:c>
      <x:c r="H58" s="148" t="str"/>
      <x:c r="I58" s="162" t="str">
        <x:v>No iniciado</x:v>
      </x:c>
    </x:row>
    <x:row r="59" ht="42" customHeight="1">
      <x:c r="A59" s="161" t="str">
        <x:v>TK-055</x:v>
      </x:c>
      <x:c r="B59" s="148" t="str">
        <x:v>HU-14</x:v>
      </x:c>
      <x:c r="C59" s="125" t="str">
        <x:v>Formalización de la práctica</x:v>
      </x:c>
      <x:c r="D59" s="125" t="str">
        <x:v>Desarrollo (Frontend)</x:v>
      </x:c>
      <x:c r="E59" s="125" t="str">
        <x:v>Crear cargadores separados con progreso, estado y observación.</x:v>
      </x:c>
      <x:c r="F59" s="148" t="str">
        <x:v>S3</x:v>
      </x:c>
      <x:c r="G59" s="148" t="str">
        <x:v>Alto</x:v>
      </x:c>
      <x:c r="H59" s="148" t="str"/>
      <x:c r="I59" s="162" t="str">
        <x:v>No iniciado</x:v>
      </x:c>
    </x:row>
    <x:row r="60" ht="42" customHeight="1">
      <x:c r="A60" s="161" t="str">
        <x:v>TK-056</x:v>
      </x:c>
      <x:c r="B60" s="148" t="str">
        <x:v>HU-14</x:v>
      </x:c>
      <x:c r="C60" s="125" t="str">
        <x:v>Formalización de la práctica</x:v>
      </x:c>
      <x:c r="D60" s="125" t="str">
        <x:v>Testing</x:v>
      </x:c>
      <x:c r="E60" s="125" t="str">
        <x:v>Probar clasificación, expediente incorrecto, reemplazo permitido y permisos.</x:v>
      </x:c>
      <x:c r="F60" s="148" t="str">
        <x:v>S3</x:v>
      </x:c>
      <x:c r="G60" s="148" t="str">
        <x:v>Alto</x:v>
      </x:c>
      <x:c r="H60" s="148" t="str"/>
      <x:c r="I60" s="162" t="str">
        <x:v>No iniciado</x:v>
      </x:c>
    </x:row>
    <x:row r="61" ht="42" customHeight="1">
      <x:c r="A61" s="161" t="str">
        <x:v>TK-057</x:v>
      </x:c>
      <x:c r="B61" s="148" t="str">
        <x:v>HU-15</x:v>
      </x:c>
      <x:c r="C61" s="125" t="str">
        <x:v>Formalización de la práctica</x:v>
      </x:c>
      <x:c r="D61" s="125" t="str">
        <x:v>Modelamiento</x:v>
      </x:c>
      <x:c r="E61" s="125" t="str">
        <x:v>Registrar metadatos técnicos, hash, resultado de validación y causa de rechazo.</x:v>
      </x:c>
      <x:c r="F61" s="148" t="str">
        <x:v>S3</x:v>
      </x:c>
      <x:c r="G61" s="148" t="str">
        <x:v>Alto</x:v>
      </x:c>
      <x:c r="H61" s="148" t="str"/>
      <x:c r="I61" s="162" t="str">
        <x:v>No iniciado</x:v>
      </x:c>
    </x:row>
    <x:row r="62" ht="42" customHeight="1">
      <x:c r="A62" s="161" t="str">
        <x:v>TK-058</x:v>
      </x:c>
      <x:c r="B62" s="148" t="str">
        <x:v>HU-15</x:v>
      </x:c>
      <x:c r="C62" s="125" t="str">
        <x:v>Formalización de la práctica</x:v>
      </x:c>
      <x:c r="D62" s="125" t="str">
        <x:v>Desarrollo (Backend)</x:v>
      </x:c>
      <x:c r="E62" s="125" t="str">
        <x:v>Implementar validación de firma MIME, tamaño, estructura PDF y almacenamiento en cuarentena.</x:v>
      </x:c>
      <x:c r="F62" s="148" t="str">
        <x:v>S3</x:v>
      </x:c>
      <x:c r="G62" s="148" t="str">
        <x:v>Alto</x:v>
      </x:c>
      <x:c r="H62" s="148" t="str"/>
      <x:c r="I62" s="162" t="str">
        <x:v>No iniciado</x:v>
      </x:c>
    </x:row>
    <x:row r="63" ht="42" customHeight="1">
      <x:c r="A63" s="161" t="str">
        <x:v>TK-059</x:v>
      </x:c>
      <x:c r="B63" s="148" t="str">
        <x:v>HU-15</x:v>
      </x:c>
      <x:c r="C63" s="125" t="str">
        <x:v>Formalización de la práctica</x:v>
      </x:c>
      <x:c r="D63" s="125" t="str">
        <x:v>Desarrollo (Frontend)</x:v>
      </x:c>
      <x:c r="E63" s="125" t="str">
        <x:v>Mostrar límites antes de cargar y mensajes de validación accionables.</x:v>
      </x:c>
      <x:c r="F63" s="148" t="str">
        <x:v>S3</x:v>
      </x:c>
      <x:c r="G63" s="148" t="str">
        <x:v>Alto</x:v>
      </x:c>
      <x:c r="H63" s="148" t="str"/>
      <x:c r="I63" s="162" t="str">
        <x:v>No iniciado</x:v>
      </x:c>
    </x:row>
    <x:row r="64" ht="42" customHeight="1">
      <x:c r="A64" s="161" t="str">
        <x:v>TK-060</x:v>
      </x:c>
      <x:c r="B64" s="148" t="str">
        <x:v>HU-15</x:v>
      </x:c>
      <x:c r="C64" s="125" t="str">
        <x:v>Formalización de la práctica</x:v>
      </x:c>
      <x:c r="D64" s="125" t="str">
        <x:v>Testing</x:v>
      </x:c>
      <x:c r="E64" s="125" t="str">
        <x:v>Usar archivos válidos, corruptos, vacíos, renombrados y sobredimensionados.</x:v>
      </x:c>
      <x:c r="F64" s="148" t="str">
        <x:v>S3</x:v>
      </x:c>
      <x:c r="G64" s="148" t="str">
        <x:v>Alto</x:v>
      </x:c>
      <x:c r="H64" s="148" t="str"/>
      <x:c r="I64" s="162" t="str">
        <x:v>No iniciado</x:v>
      </x:c>
    </x:row>
    <x:row r="65" ht="42" customHeight="1">
      <x:c r="A65" s="161" t="str">
        <x:v>TK-061</x:v>
      </x:c>
      <x:c r="B65" s="148" t="str">
        <x:v>HU-16</x:v>
      </x:c>
      <x:c r="C65" s="125" t="str">
        <x:v>Formalización de la práctica</x:v>
      </x:c>
      <x:c r="D65" s="125" t="str">
        <x:v>Modelamiento</x:v>
      </x:c>
      <x:c r="E65" s="125" t="str">
        <x:v>Modelar revisión documental, comentario, decisión y responsable.</x:v>
      </x:c>
      <x:c r="F65" s="148" t="str">
        <x:v>S3</x:v>
      </x:c>
      <x:c r="G65" s="148" t="str">
        <x:v>Alto</x:v>
      </x:c>
      <x:c r="H65" s="148" t="str"/>
      <x:c r="I65" s="162" t="str">
        <x:v>No iniciado</x:v>
      </x:c>
    </x:row>
    <x:row r="66" ht="42" customHeight="1">
      <x:c r="A66" s="161" t="str">
        <x:v>TK-062</x:v>
      </x:c>
      <x:c r="B66" s="148" t="str">
        <x:v>HU-16</x:v>
      </x:c>
      <x:c r="C66" s="125" t="str">
        <x:v>Formalización de la práctica</x:v>
      </x:c>
      <x:c r="D66" s="125" t="str">
        <x:v>Desarrollo (Backend)</x:v>
      </x:c>
      <x:c r="E66" s="125" t="str">
        <x:v>Implementar bandeja, transiciones autorizadas y registro transaccional de la decisión.</x:v>
      </x:c>
      <x:c r="F66" s="148" t="str">
        <x:v>S3</x:v>
      </x:c>
      <x:c r="G66" s="148" t="str">
        <x:v>Alto</x:v>
      </x:c>
      <x:c r="H66" s="148" t="str"/>
      <x:c r="I66" s="162" t="str">
        <x:v>No iniciado</x:v>
      </x:c>
    </x:row>
    <x:row r="67" ht="42" customHeight="1">
      <x:c r="A67" s="161" t="str">
        <x:v>TK-063</x:v>
      </x:c>
      <x:c r="B67" s="148" t="str">
        <x:v>HU-16</x:v>
      </x:c>
      <x:c r="C67" s="125" t="str">
        <x:v>Formalización de la práctica</x:v>
      </x:c>
      <x:c r="D67" s="125" t="str">
        <x:v>Desarrollo (Frontend)</x:v>
      </x:c>
      <x:c r="E67" s="125" t="str">
        <x:v>Construir visor privado, datos del expediente y acciones aprobar/observar/anular.</x:v>
      </x:c>
      <x:c r="F67" s="148" t="str">
        <x:v>S3</x:v>
      </x:c>
      <x:c r="G67" s="148" t="str">
        <x:v>Alto</x:v>
      </x:c>
      <x:c r="H67" s="148" t="str"/>
      <x:c r="I67" s="162" t="str">
        <x:v>No iniciado</x:v>
      </x:c>
    </x:row>
    <x:row r="68" ht="42" customHeight="1">
      <x:c r="A68" s="161" t="str">
        <x:v>TK-064</x:v>
      </x:c>
      <x:c r="B68" s="148" t="str">
        <x:v>HU-16</x:v>
      </x:c>
      <x:c r="C68" s="125" t="str">
        <x:v>Formalización de la práctica</x:v>
      </x:c>
      <x:c r="D68" s="125" t="str">
        <x:v>Testing</x:v>
      </x:c>
      <x:c r="E68" s="125" t="str">
        <x:v>Probar alcance por campus, comentario obligatorio, transición inválida y concurrencia.</x:v>
      </x:c>
      <x:c r="F68" s="148" t="str">
        <x:v>S3</x:v>
      </x:c>
      <x:c r="G68" s="148" t="str">
        <x:v>Alto</x:v>
      </x:c>
      <x:c r="H68" s="148" t="str"/>
      <x:c r="I68" s="162" t="str">
        <x:v>No iniciado</x:v>
      </x:c>
    </x:row>
    <x:row r="69" ht="42" customHeight="1">
      <x:c r="A69" s="161" t="str">
        <x:v>TK-065</x:v>
      </x:c>
      <x:c r="B69" s="148" t="str">
        <x:v>HU-17</x:v>
      </x:c>
      <x:c r="C69" s="125" t="str">
        <x:v>Formalización de la práctica</x:v>
      </x:c>
      <x:c r="D69" s="125" t="str">
        <x:v>Modelamiento</x:v>
      </x:c>
      <x:c r="E69" s="125" t="str">
        <x:v>Separar entidad documental de sus versiones y revisiones.</x:v>
      </x:c>
      <x:c r="F69" s="148" t="str">
        <x:v>S3</x:v>
      </x:c>
      <x:c r="G69" s="148" t="str">
        <x:v>Alto</x:v>
      </x:c>
      <x:c r="H69" s="148" t="str"/>
      <x:c r="I69" s="162" t="str">
        <x:v>No iniciado</x:v>
      </x:c>
    </x:row>
    <x:row r="70" ht="42" customHeight="1">
      <x:c r="A70" s="161" t="str">
        <x:v>TK-066</x:v>
      </x:c>
      <x:c r="B70" s="148" t="str">
        <x:v>HU-17</x:v>
      </x:c>
      <x:c r="C70" s="125" t="str">
        <x:v>Formalización de la práctica</x:v>
      </x:c>
      <x:c r="D70" s="125" t="str">
        <x:v>Desarrollo (Backend)</x:v>
      </x:c>
      <x:c r="E70" s="125" t="str">
        <x:v>Implementar versionado inmutable y consulta cronológica con permisos.</x:v>
      </x:c>
      <x:c r="F70" s="148" t="str">
        <x:v>S3</x:v>
      </x:c>
      <x:c r="G70" s="148" t="str">
        <x:v>Alto</x:v>
      </x:c>
      <x:c r="H70" s="148" t="str"/>
      <x:c r="I70" s="162" t="str">
        <x:v>No iniciado</x:v>
      </x:c>
    </x:row>
    <x:row r="71" ht="42" customHeight="1">
      <x:c r="A71" s="161" t="str">
        <x:v>TK-067</x:v>
      </x:c>
      <x:c r="B71" s="148" t="str">
        <x:v>HU-17</x:v>
      </x:c>
      <x:c r="C71" s="125" t="str">
        <x:v>Formalización de la práctica</x:v>
      </x:c>
      <x:c r="D71" s="125" t="str">
        <x:v>Desarrollo (Frontend)</x:v>
      </x:c>
      <x:c r="E71" s="125" t="str">
        <x:v>Añadir historial de versiones, comentarios y descarga autorizada.</x:v>
      </x:c>
      <x:c r="F71" s="148" t="str">
        <x:v>S3</x:v>
      </x:c>
      <x:c r="G71" s="148" t="str">
        <x:v>Alto</x:v>
      </x:c>
      <x:c r="H71" s="148" t="str"/>
      <x:c r="I71" s="162" t="str">
        <x:v>No iniciado</x:v>
      </x:c>
    </x:row>
    <x:row r="72" ht="42" customHeight="1">
      <x:c r="A72" s="161" t="str">
        <x:v>TK-068</x:v>
      </x:c>
      <x:c r="B72" s="148" t="str">
        <x:v>HU-17</x:v>
      </x:c>
      <x:c r="C72" s="125" t="str">
        <x:v>Formalización de la práctica</x:v>
      </x:c>
      <x:c r="D72" s="125" t="str">
        <x:v>Testing</x:v>
      </x:c>
      <x:c r="E72" s="125" t="str">
        <x:v>Verificar secuencia, versión vigente, inmutabilidad y acceso a archivos históricos.</x:v>
      </x:c>
      <x:c r="F72" s="148" t="str">
        <x:v>S3</x:v>
      </x:c>
      <x:c r="G72" s="148" t="str">
        <x:v>Alto</x:v>
      </x:c>
      <x:c r="H72" s="148" t="str"/>
      <x:c r="I72" s="162" t="str">
        <x:v>No iniciado</x:v>
      </x:c>
    </x:row>
    <x:row r="73" ht="42" customHeight="1">
      <x:c r="A73" s="161" t="str">
        <x:v>TK-069</x:v>
      </x:c>
      <x:c r="B73" s="148" t="str">
        <x:v>HU-18</x:v>
      </x:c>
      <x:c r="C73" s="125" t="str">
        <x:v>Formalización de la práctica</x:v>
      </x:c>
      <x:c r="D73" s="125" t="str">
        <x:v>Modelamiento</x:v>
      </x:c>
      <x:c r="E73" s="125" t="str">
        <x:v>Definir reglas de autorización, fechas y transiciones de la práctica.</x:v>
      </x:c>
      <x:c r="F73" s="148" t="str">
        <x:v>S2</x:v>
      </x:c>
      <x:c r="G73" s="148" t="str">
        <x:v>Alto</x:v>
      </x:c>
      <x:c r="H73" s="148" t="str"/>
      <x:c r="I73" s="162" t="str">
        <x:v>No iniciado</x:v>
      </x:c>
    </x:row>
    <x:row r="74" ht="42" customHeight="1">
      <x:c r="A74" s="161" t="str">
        <x:v>TK-070</x:v>
      </x:c>
      <x:c r="B74" s="148" t="str">
        <x:v>HU-18</x:v>
      </x:c>
      <x:c r="C74" s="125" t="str">
        <x:v>Formalización de la práctica</x:v>
      </x:c>
      <x:c r="D74" s="125" t="str">
        <x:v>Desarrollo (Backend)</x:v>
      </x:c>
      <x:c r="E74" s="125" t="str">
        <x:v>Crear servicio de autorización que evalúe checklist y active de forma controlada.</x:v>
      </x:c>
      <x:c r="F74" s="148" t="str">
        <x:v>S2</x:v>
      </x:c>
      <x:c r="G74" s="148" t="str">
        <x:v>Alto</x:v>
      </x:c>
      <x:c r="H74" s="148" t="str"/>
      <x:c r="I74" s="162" t="str">
        <x:v>No iniciado</x:v>
      </x:c>
    </x:row>
    <x:row r="75" ht="42" customHeight="1">
      <x:c r="A75" s="161" t="str">
        <x:v>TK-071</x:v>
      </x:c>
      <x:c r="B75" s="148" t="str">
        <x:v>HU-18</x:v>
      </x:c>
      <x:c r="C75" s="125" t="str">
        <x:v>Formalización de la práctica</x:v>
      </x:c>
      <x:c r="D75" s="125" t="str">
        <x:v>Desarrollo (Frontend)</x:v>
      </x:c>
      <x:c r="E75" s="125" t="str">
        <x:v>Mostrar bloqueos y acción de autorizar en el expediente del coordinador.</x:v>
      </x:c>
      <x:c r="F75" s="148" t="str">
        <x:v>S2</x:v>
      </x:c>
      <x:c r="G75" s="148" t="str">
        <x:v>Alto</x:v>
      </x:c>
      <x:c r="H75" s="148" t="str"/>
      <x:c r="I75" s="162" t="str">
        <x:v>No iniciado</x:v>
      </x:c>
    </x:row>
    <x:row r="76" ht="42" customHeight="1">
      <x:c r="A76" s="161" t="str">
        <x:v>TK-072</x:v>
      </x:c>
      <x:c r="B76" s="148" t="str">
        <x:v>HU-18</x:v>
      </x:c>
      <x:c r="C76" s="125" t="str">
        <x:v>Formalización de la práctica</x:v>
      </x:c>
      <x:c r="D76" s="125" t="str">
        <x:v>Testing</x:v>
      </x:c>
      <x:c r="E76" s="125" t="str">
        <x:v>Probar autorización completa/incompleta, fecha de inicio y bloqueo de operaciones.</x:v>
      </x:c>
      <x:c r="F76" s="148" t="str">
        <x:v>S2</x:v>
      </x:c>
      <x:c r="G76" s="148" t="str">
        <x:v>Alto</x:v>
      </x:c>
      <x:c r="H76" s="148" t="str"/>
      <x:c r="I76" s="162" t="str">
        <x:v>No iniciado</x:v>
      </x:c>
    </x:row>
    <x:row r="77" ht="42" customHeight="1">
      <x:c r="A77" s="161" t="str">
        <x:v>TK-073</x:v>
      </x:c>
      <x:c r="B77" s="148" t="str">
        <x:v>HU-19</x:v>
      </x:c>
      <x:c r="C77" s="125" t="str">
        <x:v>Formalización de la práctica</x:v>
      </x:c>
      <x:c r="D77" s="125" t="str">
        <x:v>Modelamiento</x:v>
      </x:c>
      <x:c r="E77" s="125" t="str">
        <x:v>Añadir eventos de excepción y vigencia a la práctica.</x:v>
      </x:c>
      <x:c r="F77" s="148" t="str">
        <x:v>S3</x:v>
      </x:c>
      <x:c r="G77" s="148" t="str">
        <x:v>Medio</x:v>
      </x:c>
      <x:c r="H77" s="148" t="str"/>
      <x:c r="I77" s="162" t="str">
        <x:v>No iniciado</x:v>
      </x:c>
    </x:row>
    <x:row r="78" ht="42" customHeight="1">
      <x:c r="A78" s="161" t="str">
        <x:v>TK-074</x:v>
      </x:c>
      <x:c r="B78" s="148" t="str">
        <x:v>HU-19</x:v>
      </x:c>
      <x:c r="C78" s="125" t="str">
        <x:v>Formalización de la práctica</x:v>
      </x:c>
      <x:c r="D78" s="125" t="str">
        <x:v>Desarrollo (Backend)</x:v>
      </x:c>
      <x:c r="E78" s="125" t="str">
        <x:v>Implementar transiciones, bloqueos operativos y reactivación auditada.</x:v>
      </x:c>
      <x:c r="F78" s="148" t="str">
        <x:v>S3</x:v>
      </x:c>
      <x:c r="G78" s="148" t="str">
        <x:v>Medio</x:v>
      </x:c>
      <x:c r="H78" s="148" t="str"/>
      <x:c r="I78" s="162" t="str">
        <x:v>No iniciado</x:v>
      </x:c>
    </x:row>
    <x:row r="79" ht="42" customHeight="1">
      <x:c r="A79" s="161" t="str">
        <x:v>TK-075</x:v>
      </x:c>
      <x:c r="B79" s="148" t="str">
        <x:v>HU-19</x:v>
      </x:c>
      <x:c r="C79" s="125" t="str">
        <x:v>Formalización de la práctica</x:v>
      </x:c>
      <x:c r="D79" s="125" t="str">
        <x:v>Desarrollo (Frontend)</x:v>
      </x:c>
      <x:c r="E79" s="125" t="str">
        <x:v>Crear acciones de excepción con advertencias y motivo obligatorio.</x:v>
      </x:c>
      <x:c r="F79" s="148" t="str">
        <x:v>S3</x:v>
      </x:c>
      <x:c r="G79" s="148" t="str">
        <x:v>Medio</x:v>
      </x:c>
      <x:c r="H79" s="148" t="str"/>
      <x:c r="I79" s="162" t="str">
        <x:v>No iniciado</x:v>
      </x:c>
    </x:row>
    <x:row r="80" ht="42" customHeight="1">
      <x:c r="A80" s="161" t="str">
        <x:v>TK-076</x:v>
      </x:c>
      <x:c r="B80" s="148" t="str">
        <x:v>HU-19</x:v>
      </x:c>
      <x:c r="C80" s="125" t="str">
        <x:v>Formalización de la práctica</x:v>
      </x:c>
      <x:c r="D80" s="125" t="str">
        <x:v>Testing</x:v>
      </x:c>
      <x:c r="E80" s="125" t="str">
        <x:v>Probar suspensión, cancelación, reactivación y conservación del historial.</x:v>
      </x:c>
      <x:c r="F80" s="148" t="str">
        <x:v>S3</x:v>
      </x:c>
      <x:c r="G80" s="148" t="str">
        <x:v>Medio</x:v>
      </x:c>
      <x:c r="H80" s="148" t="str"/>
      <x:c r="I80" s="162" t="str">
        <x:v>No iniciado</x:v>
      </x:c>
    </x:row>
    <x:row r="81" ht="42" customHeight="1">
      <x:c r="A81" s="161" t="str">
        <x:v>TK-077</x:v>
      </x:c>
      <x:c r="B81" s="148" t="str">
        <x:v>HU-20</x:v>
      </x:c>
      <x:c r="C81" s="125" t="str">
        <x:v>Seguimiento y horas</x:v>
      </x:c>
      <x:c r="D81" s="125" t="str">
        <x:v>Modelamiento</x:v>
      </x:c>
      <x:c r="E81" s="125" t="str">
        <x:v>Modelar docentes, estado activo y asignaciones con vigencia.</x:v>
      </x:c>
      <x:c r="F81" s="148" t="str">
        <x:v>S4</x:v>
      </x:c>
      <x:c r="G81" s="148" t="str">
        <x:v>Alto</x:v>
      </x:c>
      <x:c r="H81" s="148" t="str"/>
      <x:c r="I81" s="162" t="str">
        <x:v>No iniciado</x:v>
      </x:c>
    </x:row>
    <x:row r="82" ht="42" customHeight="1">
      <x:c r="A82" s="161" t="str">
        <x:v>TK-078</x:v>
      </x:c>
      <x:c r="B82" s="148" t="str">
        <x:v>HU-20</x:v>
      </x:c>
      <x:c r="C82" s="125" t="str">
        <x:v>Seguimiento y horas</x:v>
      </x:c>
      <x:c r="D82" s="125" t="str">
        <x:v>Desarrollo (Backend)</x:v>
      </x:c>
      <x:c r="E82" s="125" t="str">
        <x:v>Implementar consulta, asignación y reasignación con historial.</x:v>
      </x:c>
      <x:c r="F82" s="148" t="str">
        <x:v>S4</x:v>
      </x:c>
      <x:c r="G82" s="148" t="str">
        <x:v>Alto</x:v>
      </x:c>
      <x:c r="H82" s="148" t="str"/>
      <x:c r="I82" s="162" t="str">
        <x:v>No iniciado</x:v>
      </x:c>
    </x:row>
    <x:row r="83" ht="42" customHeight="1">
      <x:c r="A83" s="161" t="str">
        <x:v>TK-079</x:v>
      </x:c>
      <x:c r="B83" s="148" t="str">
        <x:v>HU-20</x:v>
      </x:c>
      <x:c r="C83" s="125" t="str">
        <x:v>Seguimiento y horas</x:v>
      </x:c>
      <x:c r="D83" s="125" t="str">
        <x:v>Desarrollo (Frontend)</x:v>
      </x:c>
      <x:c r="E83" s="125" t="str">
        <x:v>Crear selector de supervisor y vista de asignación en el expediente.</x:v>
      </x:c>
      <x:c r="F83" s="148" t="str">
        <x:v>S4</x:v>
      </x:c>
      <x:c r="G83" s="148" t="str">
        <x:v>Alto</x:v>
      </x:c>
      <x:c r="H83" s="148" t="str"/>
      <x:c r="I83" s="162" t="str">
        <x:v>No iniciado</x:v>
      </x:c>
    </x:row>
    <x:row r="84" ht="42" customHeight="1">
      <x:c r="A84" s="161" t="str">
        <x:v>TK-080</x:v>
      </x:c>
      <x:c r="B84" s="148" t="str">
        <x:v>HU-20</x:v>
      </x:c>
      <x:c r="C84" s="125" t="str">
        <x:v>Seguimiento y horas</x:v>
      </x:c>
      <x:c r="D84" s="125" t="str">
        <x:v>Testing</x:v>
      </x:c>
      <x:c r="E84" s="125" t="str">
        <x:v>Validar campus, docente inactivo, reasignación y notificación.</x:v>
      </x:c>
      <x:c r="F84" s="148" t="str">
        <x:v>S4</x:v>
      </x:c>
      <x:c r="G84" s="148" t="str">
        <x:v>Alto</x:v>
      </x:c>
      <x:c r="H84" s="148" t="str"/>
      <x:c r="I84" s="162" t="str">
        <x:v>No iniciado</x:v>
      </x:c>
    </x:row>
    <x:row r="85" ht="42" customHeight="1">
      <x:c r="A85" s="161" t="str">
        <x:v>TK-081</x:v>
      </x:c>
      <x:c r="B85" s="148" t="str">
        <x:v>HU-21</x:v>
      </x:c>
      <x:c r="C85" s="125" t="str">
        <x:v>Seguimiento y horas</x:v>
      </x:c>
      <x:c r="D85" s="125" t="str">
        <x:v>Modelamiento</x:v>
      </x:c>
      <x:c r="E85" s="125" t="str">
        <x:v>Preparar vista de consulta por asignación y permisos del docente.</x:v>
      </x:c>
      <x:c r="F85" s="148" t="str">
        <x:v>S4</x:v>
      </x:c>
      <x:c r="G85" s="148" t="str">
        <x:v>Alto</x:v>
      </x:c>
      <x:c r="H85" s="148" t="str"/>
      <x:c r="I85" s="162" t="str">
        <x:v>No iniciado</x:v>
      </x:c>
    </x:row>
    <x:row r="86" ht="42" customHeight="1">
      <x:c r="A86" s="161" t="str">
        <x:v>TK-082</x:v>
      </x:c>
      <x:c r="B86" s="148" t="str">
        <x:v>HU-21</x:v>
      </x:c>
      <x:c r="C86" s="125" t="str">
        <x:v>Seguimiento y horas</x:v>
      </x:c>
      <x:c r="D86" s="125" t="str">
        <x:v>Desarrollo (Backend)</x:v>
      </x:c>
      <x:c r="E86" s="125" t="str">
        <x:v>Crear endpoint paginado de prácticas asignadas y detalle autorizado.</x:v>
      </x:c>
      <x:c r="F86" s="148" t="str">
        <x:v>S4</x:v>
      </x:c>
      <x:c r="G86" s="148" t="str">
        <x:v>Alto</x:v>
      </x:c>
      <x:c r="H86" s="148" t="str"/>
      <x:c r="I86" s="162" t="str">
        <x:v>No iniciado</x:v>
      </x:c>
    </x:row>
    <x:row r="87" ht="42" customHeight="1">
      <x:c r="A87" s="161" t="str">
        <x:v>TK-083</x:v>
      </x:c>
      <x:c r="B87" s="148" t="str">
        <x:v>HU-21</x:v>
      </x:c>
      <x:c r="C87" s="125" t="str">
        <x:v>Seguimiento y horas</x:v>
      </x:c>
      <x:c r="D87" s="125" t="str">
        <x:v>Desarrollo (Frontend)</x:v>
      </x:c>
      <x:c r="E87" s="125" t="str">
        <x:v>Diseñar panel del docente con filtros y acceso al expediente.</x:v>
      </x:c>
      <x:c r="F87" s="148" t="str">
        <x:v>S4</x:v>
      </x:c>
      <x:c r="G87" s="148" t="str">
        <x:v>Alto</x:v>
      </x:c>
      <x:c r="H87" s="148" t="str"/>
      <x:c r="I87" s="162" t="str">
        <x:v>No iniciado</x:v>
      </x:c>
    </x:row>
    <x:row r="88" ht="42" customHeight="1">
      <x:c r="A88" s="161" t="str">
        <x:v>TK-084</x:v>
      </x:c>
      <x:c r="B88" s="148" t="str">
        <x:v>HU-21</x:v>
      </x:c>
      <x:c r="C88" s="125" t="str">
        <x:v>Seguimiento y horas</x:v>
      </x:c>
      <x:c r="D88" s="125" t="str">
        <x:v>Testing</x:v>
      </x:c>
      <x:c r="E88" s="125" t="str">
        <x:v>Probar aislamiento entre docentes, filtros y operaciones de solo lectura.</x:v>
      </x:c>
      <x:c r="F88" s="148" t="str">
        <x:v>S4</x:v>
      </x:c>
      <x:c r="G88" s="148" t="str">
        <x:v>Alto</x:v>
      </x:c>
      <x:c r="H88" s="148" t="str"/>
      <x:c r="I88" s="162" t="str">
        <x:v>No iniciado</x:v>
      </x:c>
    </x:row>
    <x:row r="89" ht="42" customHeight="1">
      <x:c r="A89" s="161" t="str">
        <x:v>TK-085</x:v>
      </x:c>
      <x:c r="B89" s="148" t="str">
        <x:v>HU-22</x:v>
      </x:c>
      <x:c r="C89" s="125" t="str">
        <x:v>Seguimiento y horas</x:v>
      </x:c>
      <x:c r="D89" s="125" t="str">
        <x:v>Modelamiento</x:v>
      </x:c>
      <x:c r="E89" s="125" t="str">
        <x:v>Modelar bitácora de actividades/horas, evidencia y estados.</x:v>
      </x:c>
      <x:c r="F89" s="148" t="str">
        <x:v>S4</x:v>
      </x:c>
      <x:c r="G89" s="148" t="str">
        <x:v>Alto</x:v>
      </x:c>
      <x:c r="H89" s="148" t="str"/>
      <x:c r="I89" s="162" t="str">
        <x:v>No iniciado</x:v>
      </x:c>
    </x:row>
    <x:row r="90" ht="42" customHeight="1">
      <x:c r="A90" s="161" t="str">
        <x:v>TK-086</x:v>
      </x:c>
      <x:c r="B90" s="148" t="str">
        <x:v>HU-22</x:v>
      </x:c>
      <x:c r="C90" s="125" t="str">
        <x:v>Seguimiento y horas</x:v>
      </x:c>
      <x:c r="D90" s="125" t="str">
        <x:v>Desarrollo (Backend)</x:v>
      </x:c>
      <x:c r="E90" s="125" t="str">
        <x:v>Implementar creación, validaciones temporales y envío por expediente activo.</x:v>
      </x:c>
      <x:c r="F90" s="148" t="str">
        <x:v>S4</x:v>
      </x:c>
      <x:c r="G90" s="148" t="str">
        <x:v>Alto</x:v>
      </x:c>
      <x:c r="H90" s="148" t="str"/>
      <x:c r="I90" s="162" t="str">
        <x:v>No iniciado</x:v>
      </x:c>
    </x:row>
    <x:row r="91" ht="42" customHeight="1">
      <x:c r="A91" s="161" t="str">
        <x:v>TK-087</x:v>
      </x:c>
      <x:c r="B91" s="148" t="str">
        <x:v>HU-22</x:v>
      </x:c>
      <x:c r="C91" s="125" t="str">
        <x:v>Seguimiento y horas</x:v>
      </x:c>
      <x:c r="D91" s="125" t="str">
        <x:v>Desarrollo (Frontend)</x:v>
      </x:c>
      <x:c r="E91" s="125" t="str">
        <x:v>Construir bitácora responsive con borradores y resumen por periodo.</x:v>
      </x:c>
      <x:c r="F91" s="148" t="str">
        <x:v>S4</x:v>
      </x:c>
      <x:c r="G91" s="148" t="str">
        <x:v>Alto</x:v>
      </x:c>
      <x:c r="H91" s="148" t="str"/>
      <x:c r="I91" s="162" t="str">
        <x:v>No iniciado</x:v>
      </x:c>
    </x:row>
    <x:row r="92" ht="42" customHeight="1">
      <x:c r="A92" s="161" t="str">
        <x:v>TK-088</x:v>
      </x:c>
      <x:c r="B92" s="148" t="str">
        <x:v>HU-22</x:v>
      </x:c>
      <x:c r="C92" s="125" t="str">
        <x:v>Seguimiento y horas</x:v>
      </x:c>
      <x:c r="D92" s="125" t="str">
        <x:v>Testing</x:v>
      </x:c>
      <x:c r="E92" s="125" t="str">
        <x:v>Probar límites, fechas, estados, práctica suspendida y propiedad del registro.</x:v>
      </x:c>
      <x:c r="F92" s="148" t="str">
        <x:v>S4</x:v>
      </x:c>
      <x:c r="G92" s="148" t="str">
        <x:v>Alto</x:v>
      </x:c>
      <x:c r="H92" s="148" t="str"/>
      <x:c r="I92" s="162" t="str">
        <x:v>No iniciado</x:v>
      </x:c>
    </x:row>
    <x:row r="93" ht="42" customHeight="1">
      <x:c r="A93" s="161" t="str">
        <x:v>TK-089</x:v>
      </x:c>
      <x:c r="B93" s="148" t="str">
        <x:v>HU-23</x:v>
      </x:c>
      <x:c r="C93" s="125" t="str">
        <x:v>Seguimiento y horas</x:v>
      </x:c>
      <x:c r="D93" s="125" t="str">
        <x:v>Modelamiento</x:v>
      </x:c>
      <x:c r="E93" s="125" t="str">
        <x:v>Añadir revisión y versionado a los registros de horas.</x:v>
      </x:c>
      <x:c r="F93" s="148" t="str">
        <x:v>S4</x:v>
      </x:c>
      <x:c r="G93" s="148" t="str">
        <x:v>Alto</x:v>
      </x:c>
      <x:c r="H93" s="148" t="str"/>
      <x:c r="I93" s="162" t="str">
        <x:v>No iniciado</x:v>
      </x:c>
    </x:row>
    <x:row r="94" ht="42" customHeight="1">
      <x:c r="A94" s="161" t="str">
        <x:v>TK-090</x:v>
      </x:c>
      <x:c r="B94" s="148" t="str">
        <x:v>HU-23</x:v>
      </x:c>
      <x:c r="C94" s="125" t="str">
        <x:v>Seguimiento y horas</x:v>
      </x:c>
      <x:c r="D94" s="125" t="str">
        <x:v>Desarrollo (Backend)</x:v>
      </x:c>
      <x:c r="E94" s="125" t="str">
        <x:v>Implementar bandeja, validar/observar y agregación transaccional.</x:v>
      </x:c>
      <x:c r="F94" s="148" t="str">
        <x:v>S4</x:v>
      </x:c>
      <x:c r="G94" s="148" t="str">
        <x:v>Alto</x:v>
      </x:c>
      <x:c r="H94" s="148" t="str"/>
      <x:c r="I94" s="162" t="str">
        <x:v>No iniciado</x:v>
      </x:c>
    </x:row>
    <x:row r="95" ht="42" customHeight="1">
      <x:c r="A95" s="161" t="str">
        <x:v>TK-091</x:v>
      </x:c>
      <x:c r="B95" s="148" t="str">
        <x:v>HU-23</x:v>
      </x:c>
      <x:c r="C95" s="125" t="str">
        <x:v>Seguimiento y horas</x:v>
      </x:c>
      <x:c r="D95" s="125" t="str">
        <x:v>Desarrollo (Frontend)</x:v>
      </x:c>
      <x:c r="E95" s="125" t="str">
        <x:v>Crear tabla de revisión con detalle, evidencia y comentarios.</x:v>
      </x:c>
      <x:c r="F95" s="148" t="str">
        <x:v>S4</x:v>
      </x:c>
      <x:c r="G95" s="148" t="str">
        <x:v>Alto</x:v>
      </x:c>
      <x:c r="H95" s="148" t="str"/>
      <x:c r="I95" s="162" t="str">
        <x:v>No iniciado</x:v>
      </x:c>
    </x:row>
    <x:row r="96" ht="42" customHeight="1">
      <x:c r="A96" s="161" t="str">
        <x:v>TK-092</x:v>
      </x:c>
      <x:c r="B96" s="148" t="str">
        <x:v>HU-23</x:v>
      </x:c>
      <x:c r="C96" s="125" t="str">
        <x:v>Seguimiento y horas</x:v>
      </x:c>
      <x:c r="D96" s="125" t="str">
        <x:v>Testing</x:v>
      </x:c>
      <x:c r="E96" s="125" t="str">
        <x:v>Comprobar suma, observación, corrección, acceso por campus y doble validación.</x:v>
      </x:c>
      <x:c r="F96" s="148" t="str">
        <x:v>S4</x:v>
      </x:c>
      <x:c r="G96" s="148" t="str">
        <x:v>Alto</x:v>
      </x:c>
      <x:c r="H96" s="148" t="str"/>
      <x:c r="I96" s="162" t="str">
        <x:v>No iniciado</x:v>
      </x:c>
    </x:row>
    <x:row r="97" ht="42" customHeight="1">
      <x:c r="A97" s="161" t="str">
        <x:v>TK-093</x:v>
      </x:c>
      <x:c r="B97" s="148" t="str">
        <x:v>HU-24</x:v>
      </x:c>
      <x:c r="C97" s="125" t="str">
        <x:v>Seguimiento y horas</x:v>
      </x:c>
      <x:c r="D97" s="125" t="str">
        <x:v>Modelamiento</x:v>
      </x:c>
      <x:c r="E97" s="125" t="str">
        <x:v>Definir vistas agregadas por estado, práctica y estudiante.</x:v>
      </x:c>
      <x:c r="F97" s="148" t="str">
        <x:v>S4</x:v>
      </x:c>
      <x:c r="G97" s="148" t="str">
        <x:v>Alto</x:v>
      </x:c>
      <x:c r="H97" s="148" t="str"/>
      <x:c r="I97" s="162" t="str">
        <x:v>No iniciado</x:v>
      </x:c>
    </x:row>
    <x:row r="98" ht="42" customHeight="1">
      <x:c r="A98" s="161" t="str">
        <x:v>TK-094</x:v>
      </x:c>
      <x:c r="B98" s="148" t="str">
        <x:v>HU-24</x:v>
      </x:c>
      <x:c r="C98" s="125" t="str">
        <x:v>Seguimiento y horas</x:v>
      </x:c>
      <x:c r="D98" s="125" t="str">
        <x:v>Desarrollo (Backend)</x:v>
      </x:c>
      <x:c r="E98" s="125" t="str">
        <x:v>Crear consultas de progreso consistentes con la regla de validación.</x:v>
      </x:c>
      <x:c r="F98" s="148" t="str">
        <x:v>S4</x:v>
      </x:c>
      <x:c r="G98" s="148" t="str">
        <x:v>Alto</x:v>
      </x:c>
      <x:c r="H98" s="148" t="str"/>
      <x:c r="I98" s="162" t="str">
        <x:v>No iniciado</x:v>
      </x:c>
    </x:row>
    <x:row r="99" ht="42" customHeight="1">
      <x:c r="A99" s="161" t="str">
        <x:v>TK-095</x:v>
      </x:c>
      <x:c r="B99" s="148" t="str">
        <x:v>HU-24</x:v>
      </x:c>
      <x:c r="C99" s="125" t="str">
        <x:v>Seguimiento y horas</x:v>
      </x:c>
      <x:c r="D99" s="125" t="str">
        <x:v>Desarrollo (Frontend)</x:v>
      </x:c>
      <x:c r="E99" s="125" t="str">
        <x:v>Diseñar resumen numérico y desglose sin confundir horas pendientes con válidas.</x:v>
      </x:c>
      <x:c r="F99" s="148" t="str">
        <x:v>S4</x:v>
      </x:c>
      <x:c r="G99" s="148" t="str">
        <x:v>Alto</x:v>
      </x:c>
      <x:c r="H99" s="148" t="str"/>
      <x:c r="I99" s="162" t="str">
        <x:v>No iniciado</x:v>
      </x:c>
    </x:row>
    <x:row r="100" ht="42" customHeight="1">
      <x:c r="A100" s="161" t="str">
        <x:v>TK-096</x:v>
      </x:c>
      <x:c r="B100" s="148" t="str">
        <x:v>HU-24</x:v>
      </x:c>
      <x:c r="C100" s="125" t="str">
        <x:v>Seguimiento y horas</x:v>
      </x:c>
      <x:c r="D100" s="125" t="str">
        <x:v>Testing</x:v>
      </x:c>
      <x:c r="E100" s="125" t="str">
        <x:v>Conciliar totales con registros, múltiples prácticas y cambios de estado.</x:v>
      </x:c>
      <x:c r="F100" s="148" t="str">
        <x:v>S4</x:v>
      </x:c>
      <x:c r="G100" s="148" t="str">
        <x:v>Alto</x:v>
      </x:c>
      <x:c r="H100" s="148" t="str"/>
      <x:c r="I100" s="162" t="str">
        <x:v>No iniciado</x:v>
      </x:c>
    </x:row>
    <x:row r="101" ht="42" customHeight="1">
      <x:c r="A101" s="161" t="str">
        <x:v>TK-097</x:v>
      </x:c>
      <x:c r="B101" s="148" t="str">
        <x:v>HU-25</x:v>
      </x:c>
      <x:c r="C101" s="125" t="str">
        <x:v>Seguimiento y horas</x:v>
      </x:c>
      <x:c r="D101" s="125" t="str">
        <x:v>Modelamiento</x:v>
      </x:c>
      <x:c r="E101" s="125" t="str">
        <x:v>Modelar tipos, agenda, responsables y estados de supervisión.</x:v>
      </x:c>
      <x:c r="F101" s="148" t="str">
        <x:v>S4</x:v>
      </x:c>
      <x:c r="G101" s="148" t="str">
        <x:v>Alto</x:v>
      </x:c>
      <x:c r="H101" s="148" t="str"/>
      <x:c r="I101" s="162" t="str">
        <x:v>No iniciado</x:v>
      </x:c>
    </x:row>
    <x:row r="102" ht="42" customHeight="1">
      <x:c r="A102" s="161" t="str">
        <x:v>TK-098</x:v>
      </x:c>
      <x:c r="B102" s="148" t="str">
        <x:v>HU-25</x:v>
      </x:c>
      <x:c r="C102" s="125" t="str">
        <x:v>Seguimiento y horas</x:v>
      </x:c>
      <x:c r="D102" s="125" t="str">
        <x:v>Desarrollo (Backend)</x:v>
      </x:c>
      <x:c r="E102" s="125" t="str">
        <x:v>Implementar programación, reglas de duplicidad y notificaciones.</x:v>
      </x:c>
      <x:c r="F102" s="148" t="str">
        <x:v>S4</x:v>
      </x:c>
      <x:c r="G102" s="148" t="str">
        <x:v>Alto</x:v>
      </x:c>
      <x:c r="H102" s="148" t="str"/>
      <x:c r="I102" s="162" t="str">
        <x:v>No iniciado</x:v>
      </x:c>
    </x:row>
    <x:row r="103" ht="42" customHeight="1">
      <x:c r="A103" s="161" t="str">
        <x:v>TK-099</x:v>
      </x:c>
      <x:c r="B103" s="148" t="str">
        <x:v>HU-25</x:v>
      </x:c>
      <x:c r="C103" s="125" t="str">
        <x:v>Seguimiento y horas</x:v>
      </x:c>
      <x:c r="D103" s="125" t="str">
        <x:v>Desarrollo (Frontend)</x:v>
      </x:c>
      <x:c r="E103" s="125" t="str">
        <x:v>Construir calendario/lista de supervisiones para coordinador y docente.</x:v>
      </x:c>
      <x:c r="F103" s="148" t="str">
        <x:v>S4</x:v>
      </x:c>
      <x:c r="G103" s="148" t="str">
        <x:v>Alto</x:v>
      </x:c>
      <x:c r="H103" s="148" t="str"/>
      <x:c r="I103" s="162" t="str">
        <x:v>No iniciado</x:v>
      </x:c>
    </x:row>
    <x:row r="104" ht="42" customHeight="1">
      <x:c r="A104" s="161" t="str">
        <x:v>TK-100</x:v>
      </x:c>
      <x:c r="B104" s="148" t="str">
        <x:v>HU-25</x:v>
      </x:c>
      <x:c r="C104" s="125" t="str">
        <x:v>Seguimiento y horas</x:v>
      </x:c>
      <x:c r="D104" s="125" t="str">
        <x:v>Testing</x:v>
      </x:c>
      <x:c r="E104" s="125" t="str">
        <x:v>Probar tipos, fechas fuera de rango, duplicidad y visibilidad.</x:v>
      </x:c>
      <x:c r="F104" s="148" t="str">
        <x:v>S4</x:v>
      </x:c>
      <x:c r="G104" s="148" t="str">
        <x:v>Alto</x:v>
      </x:c>
      <x:c r="H104" s="148" t="str"/>
      <x:c r="I104" s="162" t="str">
        <x:v>No iniciado</x:v>
      </x:c>
    </x:row>
    <x:row r="105" ht="42" customHeight="1">
      <x:c r="A105" s="161" t="str">
        <x:v>TK-101</x:v>
      </x:c>
      <x:c r="B105" s="148" t="str">
        <x:v>HU-26</x:v>
      </x:c>
      <x:c r="C105" s="125" t="str">
        <x:v>Seguimiento y horas</x:v>
      </x:c>
      <x:c r="D105" s="125" t="str">
        <x:v>Modelamiento</x:v>
      </x:c>
      <x:c r="E105" s="125" t="str">
        <x:v>Crear resultado de supervisión, evidencia, acuerdos y reapertura.</x:v>
      </x:c>
      <x:c r="F105" s="148" t="str">
        <x:v>S4</x:v>
      </x:c>
      <x:c r="G105" s="148" t="str">
        <x:v>Alto</x:v>
      </x:c>
      <x:c r="H105" s="148" t="str"/>
      <x:c r="I105" s="162" t="str">
        <x:v>No iniciado</x:v>
      </x:c>
    </x:row>
    <x:row r="106" ht="42" customHeight="1">
      <x:c r="A106" s="161" t="str">
        <x:v>TK-102</x:v>
      </x:c>
      <x:c r="B106" s="148" t="str">
        <x:v>HU-26</x:v>
      </x:c>
      <x:c r="C106" s="125" t="str">
        <x:v>Seguimiento y horas</x:v>
      </x:c>
      <x:c r="D106" s="125" t="str">
        <x:v>Desarrollo (Backend)</x:v>
      </x:c>
      <x:c r="E106" s="125" t="str">
        <x:v>Implementar borrador, finalización y reapertura autorizada.</x:v>
      </x:c>
      <x:c r="F106" s="148" t="str">
        <x:v>S4</x:v>
      </x:c>
      <x:c r="G106" s="148" t="str">
        <x:v>Alto</x:v>
      </x:c>
      <x:c r="H106" s="148" t="str"/>
      <x:c r="I106" s="162" t="str">
        <x:v>No iniciado</x:v>
      </x:c>
    </x:row>
    <x:row r="107" ht="42" customHeight="1">
      <x:c r="A107" s="161" t="str">
        <x:v>TK-103</x:v>
      </x:c>
      <x:c r="B107" s="148" t="str">
        <x:v>HU-26</x:v>
      </x:c>
      <x:c r="C107" s="125" t="str">
        <x:v>Seguimiento y horas</x:v>
      </x:c>
      <x:c r="D107" s="125" t="str">
        <x:v>Desarrollo (Frontend)</x:v>
      </x:c>
      <x:c r="E107" s="125" t="str">
        <x:v>Desarrollar formulario del docente y vista de constancia.</x:v>
      </x:c>
      <x:c r="F107" s="148" t="str">
        <x:v>S4</x:v>
      </x:c>
      <x:c r="G107" s="148" t="str">
        <x:v>Alto</x:v>
      </x:c>
      <x:c r="H107" s="148" t="str"/>
      <x:c r="I107" s="162" t="str">
        <x:v>No iniciado</x:v>
      </x:c>
    </x:row>
    <x:row r="108" ht="42" customHeight="1">
      <x:c r="A108" s="161" t="str">
        <x:v>TK-104</x:v>
      </x:c>
      <x:c r="B108" s="148" t="str">
        <x:v>HU-26</x:v>
      </x:c>
      <x:c r="C108" s="125" t="str">
        <x:v>Seguimiento y horas</x:v>
      </x:c>
      <x:c r="D108" s="125" t="str">
        <x:v>Testing</x:v>
      </x:c>
      <x:c r="E108" s="125" t="str">
        <x:v>Probar docente asignado, finalización, bloqueo, reapertura y archivos.</x:v>
      </x:c>
      <x:c r="F108" s="148" t="str">
        <x:v>S4</x:v>
      </x:c>
      <x:c r="G108" s="148" t="str">
        <x:v>Alto</x:v>
      </x:c>
      <x:c r="H108" s="148" t="str"/>
      <x:c r="I108" s="162" t="str">
        <x:v>No iniciado</x:v>
      </x:c>
    </x:row>
    <x:row r="109" ht="42" customHeight="1">
      <x:c r="A109" s="161" t="str">
        <x:v>TK-105</x:v>
      </x:c>
      <x:c r="B109" s="148" t="str">
        <x:v>HU-27</x:v>
      </x:c>
      <x:c r="C109" s="125" t="str">
        <x:v>Seguimiento y horas</x:v>
      </x:c>
      <x:c r="D109" s="125" t="str">
        <x:v>Modelamiento</x:v>
      </x:c>
      <x:c r="E109" s="125" t="str">
        <x:v>Registrar historial de reprogramaciones y cálculo de vencimiento.</x:v>
      </x:c>
      <x:c r="F109" s="148" t="str">
        <x:v>S4</x:v>
      </x:c>
      <x:c r="G109" s="148" t="str">
        <x:v>Medio</x:v>
      </x:c>
      <x:c r="H109" s="148" t="str"/>
      <x:c r="I109" s="162" t="str">
        <x:v>No iniciado</x:v>
      </x:c>
    </x:row>
    <x:row r="110" ht="42" customHeight="1">
      <x:c r="A110" s="161" t="str">
        <x:v>TK-106</x:v>
      </x:c>
      <x:c r="B110" s="148" t="str">
        <x:v>HU-27</x:v>
      </x:c>
      <x:c r="C110" s="125" t="str">
        <x:v>Seguimiento y horas</x:v>
      </x:c>
      <x:c r="D110" s="125" t="str">
        <x:v>Desarrollo (Backend)</x:v>
      </x:c>
      <x:c r="E110" s="125" t="str">
        <x:v>Implementar reprogramación, tarea de detección de vencidas y eventos.</x:v>
      </x:c>
      <x:c r="F110" s="148" t="str">
        <x:v>S4</x:v>
      </x:c>
      <x:c r="G110" s="148" t="str">
        <x:v>Medio</x:v>
      </x:c>
      <x:c r="H110" s="148" t="str"/>
      <x:c r="I110" s="162" t="str">
        <x:v>No iniciado</x:v>
      </x:c>
    </x:row>
    <x:row r="111" ht="42" customHeight="1">
      <x:c r="A111" s="161" t="str">
        <x:v>TK-107</x:v>
      </x:c>
      <x:c r="B111" s="148" t="str">
        <x:v>HU-27</x:v>
      </x:c>
      <x:c r="C111" s="125" t="str">
        <x:v>Seguimiento y horas</x:v>
      </x:c>
      <x:c r="D111" s="125" t="str">
        <x:v>Desarrollo (Frontend)</x:v>
      </x:c>
      <x:c r="E111" s="125" t="str">
        <x:v>Añadir acciones, motivo e indicadores de vencimiento.</x:v>
      </x:c>
      <x:c r="F111" s="148" t="str">
        <x:v>S4</x:v>
      </x:c>
      <x:c r="G111" s="148" t="str">
        <x:v>Medio</x:v>
      </x:c>
      <x:c r="H111" s="148" t="str"/>
      <x:c r="I111" s="162" t="str">
        <x:v>No iniciado</x:v>
      </x:c>
    </x:row>
    <x:row r="112" ht="42" customHeight="1">
      <x:c r="A112" s="161" t="str">
        <x:v>TK-108</x:v>
      </x:c>
      <x:c r="B112" s="148" t="str">
        <x:v>HU-27</x:v>
      </x:c>
      <x:c r="C112" s="125" t="str">
        <x:v>Seguimiento y horas</x:v>
      </x:c>
      <x:c r="D112" s="125" t="str">
        <x:v>Testing</x:v>
      </x:c>
      <x:c r="E112" s="125" t="str">
        <x:v>Simular cambio de fecha, vencimiento, reprogramación y notificación.</x:v>
      </x:c>
      <x:c r="F112" s="148" t="str">
        <x:v>S4</x:v>
      </x:c>
      <x:c r="G112" s="148" t="str">
        <x:v>Medio</x:v>
      </x:c>
      <x:c r="H112" s="148" t="str"/>
      <x:c r="I112" s="162" t="str">
        <x:v>No iniciado</x:v>
      </x:c>
    </x:row>
    <x:row r="113" ht="42" customHeight="1">
      <x:c r="A113" s="161" t="str">
        <x:v>TK-109</x:v>
      </x:c>
      <x:c r="B113" s="148" t="str">
        <x:v>HU-28</x:v>
      </x:c>
      <x:c r="C113" s="125" t="str">
        <x:v>Evaluaciones</x:v>
      </x:c>
      <x:c r="D113" s="125" t="str">
        <x:v>Modelamiento</x:v>
      </x:c>
      <x:c r="E113" s="125" t="str">
        <x:v>Modelar plantilla, dimensiones, ítems, respuestas, fase y cálculo.</x:v>
      </x:c>
      <x:c r="F113" s="148" t="str">
        <x:v>S5</x:v>
      </x:c>
      <x:c r="G113" s="148" t="str">
        <x:v>Alto</x:v>
      </x:c>
      <x:c r="H113" s="148" t="str"/>
      <x:c r="I113" s="162" t="str">
        <x:v>No iniciado</x:v>
      </x:c>
    </x:row>
    <x:row r="114" ht="42" customHeight="1">
      <x:c r="A114" s="161" t="str">
        <x:v>TK-110</x:v>
      </x:c>
      <x:c r="B114" s="148" t="str">
        <x:v>HU-28</x:v>
      </x:c>
      <x:c r="C114" s="125" t="str">
        <x:v>Evaluaciones</x:v>
      </x:c>
      <x:c r="D114" s="125" t="str">
        <x:v>Desarrollo (Backend)</x:v>
      </x:c>
      <x:c r="E114" s="125" t="str">
        <x:v>Implementar carga de plantilla, borrador, validación y finalización.</x:v>
      </x:c>
      <x:c r="F114" s="148" t="str">
        <x:v>S5</x:v>
      </x:c>
      <x:c r="G114" s="148" t="str">
        <x:v>Alto</x:v>
      </x:c>
      <x:c r="H114" s="148" t="str"/>
      <x:c r="I114" s="162" t="str">
        <x:v>No iniciado</x:v>
      </x:c>
    </x:row>
    <x:row r="115" ht="42" customHeight="1">
      <x:c r="A115" s="161" t="str">
        <x:v>TK-111</x:v>
      </x:c>
      <x:c r="B115" s="148" t="str">
        <x:v>HU-28</x:v>
      </x:c>
      <x:c r="C115" s="125" t="str">
        <x:v>Evaluaciones</x:v>
      </x:c>
      <x:c r="D115" s="125" t="str">
        <x:v>Desarrollo (Frontend)</x:v>
      </x:c>
      <x:c r="E115" s="125" t="str">
        <x:v>Construir formulario por dimensiones con escala 1-5/NA y progreso.</x:v>
      </x:c>
      <x:c r="F115" s="148" t="str">
        <x:v>S5</x:v>
      </x:c>
      <x:c r="G115" s="148" t="str">
        <x:v>Alto</x:v>
      </x:c>
      <x:c r="H115" s="148" t="str"/>
      <x:c r="I115" s="162" t="str">
        <x:v>No iniciado</x:v>
      </x:c>
    </x:row>
    <x:row r="116" ht="42" customHeight="1">
      <x:c r="A116" s="161" t="str">
        <x:v>TK-112</x:v>
      </x:c>
      <x:c r="B116" s="148" t="str">
        <x:v>HU-28</x:v>
      </x:c>
      <x:c r="C116" s="125" t="str">
        <x:v>Evaluaciones</x:v>
      </x:c>
      <x:c r="D116" s="125" t="str">
        <x:v>Testing</x:v>
      </x:c>
      <x:c r="E116" s="125" t="str">
        <x:v>Validar ítems, NA, cálculo, asignación, fase y bloqueo final.</x:v>
      </x:c>
      <x:c r="F116" s="148" t="str">
        <x:v>S5</x:v>
      </x:c>
      <x:c r="G116" s="148" t="str">
        <x:v>Alto</x:v>
      </x:c>
      <x:c r="H116" s="148" t="str"/>
      <x:c r="I116" s="162" t="str">
        <x:v>No iniciado</x:v>
      </x:c>
    </x:row>
    <x:row r="117" ht="42" customHeight="1">
      <x:c r="A117" s="161" t="str">
        <x:v>TK-113</x:v>
      </x:c>
      <x:c r="B117" s="148" t="str">
        <x:v>HU-29</x:v>
      </x:c>
      <x:c r="C117" s="125" t="str">
        <x:v>Evaluaciones</x:v>
      </x:c>
      <x:c r="D117" s="125" t="str">
        <x:v>Modelamiento</x:v>
      </x:c>
      <x:c r="E117" s="125" t="str">
        <x:v>Definir metadatos y documento de evaluación empresarial.</x:v>
      </x:c>
      <x:c r="F117" s="148" t="str">
        <x:v>S5</x:v>
      </x:c>
      <x:c r="G117" s="148" t="str">
        <x:v>Alto</x:v>
      </x:c>
      <x:c r="H117" s="148" t="str"/>
      <x:c r="I117" s="162" t="str">
        <x:v>No iniciado</x:v>
      </x:c>
    </x:row>
    <x:row r="118" ht="42" customHeight="1">
      <x:c r="A118" s="161" t="str">
        <x:v>TK-114</x:v>
      </x:c>
      <x:c r="B118" s="148" t="str">
        <x:v>HU-29</x:v>
      </x:c>
      <x:c r="C118" s="125" t="str">
        <x:v>Evaluaciones</x:v>
      </x:c>
      <x:c r="D118" s="125" t="str">
        <x:v>Desarrollo (Backend)</x:v>
      </x:c>
      <x:c r="E118" s="125" t="str">
        <x:v>Reutilizar carga versionada y validar rango de nota/metadatos.</x:v>
      </x:c>
      <x:c r="F118" s="148" t="str">
        <x:v>S5</x:v>
      </x:c>
      <x:c r="G118" s="148" t="str">
        <x:v>Alto</x:v>
      </x:c>
      <x:c r="H118" s="148" t="str"/>
      <x:c r="I118" s="162" t="str">
        <x:v>No iniciado</x:v>
      </x:c>
    </x:row>
    <x:row r="119" ht="42" customHeight="1">
      <x:c r="A119" s="161" t="str">
        <x:v>TK-115</x:v>
      </x:c>
      <x:c r="B119" s="148" t="str">
        <x:v>HU-29</x:v>
      </x:c>
      <x:c r="C119" s="125" t="str">
        <x:v>Evaluaciones</x:v>
      </x:c>
      <x:c r="D119" s="125" t="str">
        <x:v>Desarrollo (Frontend)</x:v>
      </x:c>
      <x:c r="E119" s="125" t="str">
        <x:v>Crear sección de evaluación empresarial con instrucciones y estado.</x:v>
      </x:c>
      <x:c r="F119" s="148" t="str">
        <x:v>S5</x:v>
      </x:c>
      <x:c r="G119" s="148" t="str">
        <x:v>Alto</x:v>
      </x:c>
      <x:c r="H119" s="148" t="str"/>
      <x:c r="I119" s="162" t="str">
        <x:v>No iniciado</x:v>
      </x:c>
    </x:row>
    <x:row r="120" ht="42" customHeight="1">
      <x:c r="A120" s="161" t="str">
        <x:v>TK-116</x:v>
      </x:c>
      <x:c r="B120" s="148" t="str">
        <x:v>HU-29</x:v>
      </x:c>
      <x:c r="C120" s="125" t="str">
        <x:v>Evaluaciones</x:v>
      </x:c>
      <x:c r="D120" s="125" t="str">
        <x:v>Testing</x:v>
      </x:c>
      <x:c r="E120" s="125" t="str">
        <x:v>Probar PDF, nota 0-20, nueva versión y ausencia de acceso empresarial.</x:v>
      </x:c>
      <x:c r="F120" s="148" t="str">
        <x:v>S5</x:v>
      </x:c>
      <x:c r="G120" s="148" t="str">
        <x:v>Alto</x:v>
      </x:c>
      <x:c r="H120" s="148" t="str"/>
      <x:c r="I120" s="162" t="str">
        <x:v>No iniciado</x:v>
      </x:c>
    </x:row>
    <x:row r="121" ht="42" customHeight="1">
      <x:c r="A121" s="161" t="str">
        <x:v>TK-117</x:v>
      </x:c>
      <x:c r="B121" s="148" t="str">
        <x:v>HU-30</x:v>
      </x:c>
      <x:c r="C121" s="125" t="str">
        <x:v>Evaluaciones</x:v>
      </x:c>
      <x:c r="D121" s="125" t="str">
        <x:v>Modelamiento</x:v>
      </x:c>
      <x:c r="E121" s="125" t="str">
        <x:v>Relacionar evaluaciones, estado de revisión y alertas de consistencia.</x:v>
      </x:c>
      <x:c r="F121" s="148" t="str">
        <x:v>S5</x:v>
      </x:c>
      <x:c r="G121" s="148" t="str">
        <x:v>Alto</x:v>
      </x:c>
      <x:c r="H121" s="148" t="str"/>
      <x:c r="I121" s="162" t="str">
        <x:v>No iniciado</x:v>
      </x:c>
    </x:row>
    <x:row r="122" ht="42" customHeight="1">
      <x:c r="A122" s="161" t="str">
        <x:v>TK-118</x:v>
      </x:c>
      <x:c r="B122" s="148" t="str">
        <x:v>HU-30</x:v>
      </x:c>
      <x:c r="C122" s="125" t="str">
        <x:v>Evaluaciones</x:v>
      </x:c>
      <x:c r="D122" s="125" t="str">
        <x:v>Desarrollo (Backend)</x:v>
      </x:c>
      <x:c r="E122" s="125" t="str">
        <x:v>Implementar resumen por práctica, revisión empresarial y comparación de horas.</x:v>
      </x:c>
      <x:c r="F122" s="148" t="str">
        <x:v>S5</x:v>
      </x:c>
      <x:c r="G122" s="148" t="str">
        <x:v>Alto</x:v>
      </x:c>
      <x:c r="H122" s="148" t="str"/>
      <x:c r="I122" s="162" t="str">
        <x:v>No iniciado</x:v>
      </x:c>
    </x:row>
    <x:row r="123" ht="42" customHeight="1">
      <x:c r="A123" s="161" t="str">
        <x:v>TK-119</x:v>
      </x:c>
      <x:c r="B123" s="148" t="str">
        <x:v>HU-30</x:v>
      </x:c>
      <x:c r="C123" s="125" t="str">
        <x:v>Evaluaciones</x:v>
      </x:c>
      <x:c r="D123" s="125" t="str">
        <x:v>Desarrollo (Frontend)</x:v>
      </x:c>
      <x:c r="E123" s="125" t="str">
        <x:v>Diseñar matriz de fases, nota empresarial y alertas de discrepancia.</x:v>
      </x:c>
      <x:c r="F123" s="148" t="str">
        <x:v>S5</x:v>
      </x:c>
      <x:c r="G123" s="148" t="str">
        <x:v>Alto</x:v>
      </x:c>
      <x:c r="H123" s="148" t="str"/>
      <x:c r="I123" s="162" t="str">
        <x:v>No iniciado</x:v>
      </x:c>
    </x:row>
    <x:row r="124" ht="42" customHeight="1">
      <x:c r="A124" s="161" t="str">
        <x:v>TK-120</x:v>
      </x:c>
      <x:c r="B124" s="148" t="str">
        <x:v>HU-30</x:v>
      </x:c>
      <x:c r="C124" s="125" t="str">
        <x:v>Evaluaciones</x:v>
      </x:c>
      <x:c r="D124" s="125" t="str">
        <x:v>Testing</x:v>
      </x:c>
      <x:c r="E124" s="125" t="str">
        <x:v>Probar faltantes, observación, discrepancias y ausencia de fórmula de nota final.</x:v>
      </x:c>
      <x:c r="F124" s="148" t="str">
        <x:v>S5</x:v>
      </x:c>
      <x:c r="G124" s="148" t="str">
        <x:v>Alto</x:v>
      </x:c>
      <x:c r="H124" s="148" t="str"/>
      <x:c r="I124" s="162" t="str">
        <x:v>No iniciado</x:v>
      </x:c>
    </x:row>
    <x:row r="125" ht="42" customHeight="1">
      <x:c r="A125" s="161" t="str">
        <x:v>TK-121</x:v>
      </x:c>
      <x:c r="B125" s="148" t="str">
        <x:v>HU-31</x:v>
      </x:c>
      <x:c r="C125" s="125" t="str">
        <x:v>Evaluaciones</x:v>
      </x:c>
      <x:c r="D125" s="125" t="str">
        <x:v>Modelamiento</x:v>
      </x:c>
      <x:c r="E125" s="125" t="str">
        <x:v>Normalizar versiones, dimensiones, ítems y escalas de evaluación.</x:v>
      </x:c>
      <x:c r="F125" s="148" t="str">
        <x:v>S5</x:v>
      </x:c>
      <x:c r="G125" s="148" t="str">
        <x:v>Medio</x:v>
      </x:c>
      <x:c r="H125" s="148" t="str"/>
      <x:c r="I125" s="162" t="str">
        <x:v>No iniciado</x:v>
      </x:c>
    </x:row>
    <x:row r="126" ht="42" customHeight="1">
      <x:c r="A126" s="161" t="str">
        <x:v>TK-122</x:v>
      </x:c>
      <x:c r="B126" s="148" t="str">
        <x:v>HU-31</x:v>
      </x:c>
      <x:c r="C126" s="125" t="str">
        <x:v>Evaluaciones</x:v>
      </x:c>
      <x:c r="D126" s="125" t="str">
        <x:v>Desarrollo (Backend)</x:v>
      </x:c>
      <x:c r="E126" s="125" t="str">
        <x:v>Cargar plantillas iniciales y resolver siempre la versión asociada.</x:v>
      </x:c>
      <x:c r="F126" s="148" t="str">
        <x:v>S5</x:v>
      </x:c>
      <x:c r="G126" s="148" t="str">
        <x:v>Medio</x:v>
      </x:c>
      <x:c r="H126" s="148" t="str"/>
      <x:c r="I126" s="162" t="str">
        <x:v>No iniciado</x:v>
      </x:c>
    </x:row>
    <x:row r="127" ht="42" customHeight="1">
      <x:c r="A127" s="161" t="str">
        <x:v>TK-123</x:v>
      </x:c>
      <x:c r="B127" s="148" t="str">
        <x:v>HU-31</x:v>
      </x:c>
      <x:c r="C127" s="125" t="str">
        <x:v>Evaluaciones</x:v>
      </x:c>
      <x:c r="D127" s="125" t="str">
        <x:v>Desarrollo (Frontend)</x:v>
      </x:c>
      <x:c r="E127" s="125" t="str">
        <x:v>Mostrar versión y fecha de vigencia en formularios y consultas.</x:v>
      </x:c>
      <x:c r="F127" s="148" t="str">
        <x:v>S5</x:v>
      </x:c>
      <x:c r="G127" s="148" t="str">
        <x:v>Medio</x:v>
      </x:c>
      <x:c r="H127" s="148" t="str"/>
      <x:c r="I127" s="162" t="str">
        <x:v>No iniciado</x:v>
      </x:c>
    </x:row>
    <x:row r="128" ht="42" customHeight="1">
      <x:c r="A128" s="161" t="str">
        <x:v>TK-124</x:v>
      </x:c>
      <x:c r="B128" s="148" t="str">
        <x:v>HU-31</x:v>
      </x:c>
      <x:c r="C128" s="125" t="str">
        <x:v>Evaluaciones</x:v>
      </x:c>
      <x:c r="D128" s="125" t="str">
        <x:v>Testing</x:v>
      </x:c>
      <x:c r="E128" s="125" t="str">
        <x:v>Crear dos versiones y verificar que respuestas históricas no cambien.</x:v>
      </x:c>
      <x:c r="F128" s="148" t="str">
        <x:v>S5</x:v>
      </x:c>
      <x:c r="G128" s="148" t="str">
        <x:v>Medio</x:v>
      </x:c>
      <x:c r="H128" s="148" t="str"/>
      <x:c r="I128" s="162" t="str">
        <x:v>No iniciado</x:v>
      </x:c>
    </x:row>
    <x:row r="129" ht="42" customHeight="1">
      <x:c r="A129" s="161" t="str">
        <x:v>TK-125</x:v>
      </x:c>
      <x:c r="B129" s="148" t="str">
        <x:v>HU-32</x:v>
      </x:c>
      <x:c r="C129" s="125" t="str">
        <x:v>Cierre y reconocimiento</x:v>
      </x:c>
      <x:c r="D129" s="125" t="str">
        <x:v>Modelamiento</x:v>
      </x:c>
      <x:c r="E129" s="125" t="str">
        <x:v>Añadir tipo Informe final al catálogo documental de cierre.</x:v>
      </x:c>
      <x:c r="F129" s="148" t="str">
        <x:v>S6</x:v>
      </x:c>
      <x:c r="G129" s="148" t="str">
        <x:v>Alto</x:v>
      </x:c>
      <x:c r="H129" s="148" t="str"/>
      <x:c r="I129" s="162" t="str">
        <x:v>No iniciado</x:v>
      </x:c>
    </x:row>
    <x:row r="130" ht="42" customHeight="1">
      <x:c r="A130" s="161" t="str">
        <x:v>TK-126</x:v>
      </x:c>
      <x:c r="B130" s="148" t="str">
        <x:v>HU-32</x:v>
      </x:c>
      <x:c r="C130" s="125" t="str">
        <x:v>Cierre y reconocimiento</x:v>
      </x:c>
      <x:c r="D130" s="125" t="str">
        <x:v>Desarrollo (Backend)</x:v>
      </x:c>
      <x:c r="E130" s="125" t="str">
        <x:v>Aplicar carga, versionado y revisión existentes a la etapa de cierre.</x:v>
      </x:c>
      <x:c r="F130" s="148" t="str">
        <x:v>S6</x:v>
      </x:c>
      <x:c r="G130" s="148" t="str">
        <x:v>Alto</x:v>
      </x:c>
      <x:c r="H130" s="148" t="str"/>
      <x:c r="I130" s="162" t="str">
        <x:v>No iniciado</x:v>
      </x:c>
    </x:row>
    <x:row r="131" ht="42" customHeight="1">
      <x:c r="A131" s="161" t="str">
        <x:v>TK-127</x:v>
      </x:c>
      <x:c r="B131" s="148" t="str">
        <x:v>HU-32</x:v>
      </x:c>
      <x:c r="C131" s="125" t="str">
        <x:v>Cierre y reconocimiento</x:v>
      </x:c>
      <x:c r="D131" s="125" t="str">
        <x:v>Desarrollo (Frontend)</x:v>
      </x:c>
      <x:c r="E131" s="125" t="str">
        <x:v>Crear bloque de informe final con guía, estado y observaciones.</x:v>
      </x:c>
      <x:c r="F131" s="148" t="str">
        <x:v>S6</x:v>
      </x:c>
      <x:c r="G131" s="148" t="str">
        <x:v>Alto</x:v>
      </x:c>
      <x:c r="H131" s="148" t="str"/>
      <x:c r="I131" s="162" t="str">
        <x:v>No iniciado</x:v>
      </x:c>
    </x:row>
    <x:row r="132" ht="42" customHeight="1">
      <x:c r="A132" s="161" t="str">
        <x:v>TK-128</x:v>
      </x:c>
      <x:c r="B132" s="148" t="str">
        <x:v>HU-32</x:v>
      </x:c>
      <x:c r="C132" s="125" t="str">
        <x:v>Cierre y reconocimiento</x:v>
      </x:c>
      <x:c r="D132" s="125" t="str">
        <x:v>Testing</x:v>
      </x:c>
      <x:c r="E132" s="125" t="str">
        <x:v>Probar expediente, revisión, versión y permisos de descarga.</x:v>
      </x:c>
      <x:c r="F132" s="148" t="str">
        <x:v>S6</x:v>
      </x:c>
      <x:c r="G132" s="148" t="str">
        <x:v>Alto</x:v>
      </x:c>
      <x:c r="H132" s="148" t="str"/>
      <x:c r="I132" s="162" t="str">
        <x:v>No iniciado</x:v>
      </x:c>
    </x:row>
    <x:row r="133" ht="42" customHeight="1">
      <x:c r="A133" s="161" t="str">
        <x:v>TK-129</x:v>
      </x:c>
      <x:c r="B133" s="148" t="str">
        <x:v>HU-33</x:v>
      </x:c>
      <x:c r="C133" s="125" t="str">
        <x:v>Cierre y reconocimiento</x:v>
      </x:c>
      <x:c r="D133" s="125" t="str">
        <x:v>Modelamiento</x:v>
      </x:c>
      <x:c r="E133" s="125" t="str">
        <x:v>Definir evidencia de constancia/certificado y metadatos declarados.</x:v>
      </x:c>
      <x:c r="F133" s="148" t="str">
        <x:v>S6</x:v>
      </x:c>
      <x:c r="G133" s="148" t="str">
        <x:v>Alto</x:v>
      </x:c>
      <x:c r="H133" s="148" t="str"/>
      <x:c r="I133" s="162" t="str">
        <x:v>No iniciado</x:v>
      </x:c>
    </x:row>
    <x:row r="134" ht="42" customHeight="1">
      <x:c r="A134" s="161" t="str">
        <x:v>TK-130</x:v>
      </x:c>
      <x:c r="B134" s="148" t="str">
        <x:v>HU-33</x:v>
      </x:c>
      <x:c r="C134" s="125" t="str">
        <x:v>Cierre y reconocimiento</x:v>
      </x:c>
      <x:c r="D134" s="125" t="str">
        <x:v>Desarrollo (Backend)</x:v>
      </x:c>
      <x:c r="E134" s="125" t="str">
        <x:v>Implementar carga, revisión y comparación con horas validadas.</x:v>
      </x:c>
      <x:c r="F134" s="148" t="str">
        <x:v>S6</x:v>
      </x:c>
      <x:c r="G134" s="148" t="str">
        <x:v>Alto</x:v>
      </x:c>
      <x:c r="H134" s="148" t="str"/>
      <x:c r="I134" s="162" t="str">
        <x:v>No iniciado</x:v>
      </x:c>
    </x:row>
    <x:row r="135" ht="42" customHeight="1">
      <x:c r="A135" s="161" t="str">
        <x:v>TK-131</x:v>
      </x:c>
      <x:c r="B135" s="148" t="str">
        <x:v>HU-33</x:v>
      </x:c>
      <x:c r="C135" s="125" t="str">
        <x:v>Cierre y reconocimiento</x:v>
      </x:c>
      <x:c r="D135" s="125" t="str">
        <x:v>Desarrollo (Frontend)</x:v>
      </x:c>
      <x:c r="E135" s="125" t="str">
        <x:v>Construir formulario de cierre y alerta de diferencia de horas.</x:v>
      </x:c>
      <x:c r="F135" s="148" t="str">
        <x:v>S6</x:v>
      </x:c>
      <x:c r="G135" s="148" t="str">
        <x:v>Alto</x:v>
      </x:c>
      <x:c r="H135" s="148" t="str"/>
      <x:c r="I135" s="162" t="str">
        <x:v>No iniciado</x:v>
      </x:c>
    </x:row>
    <x:row r="136" ht="42" customHeight="1">
      <x:c r="A136" s="161" t="str">
        <x:v>TK-132</x:v>
      </x:c>
      <x:c r="B136" s="148" t="str">
        <x:v>HU-33</x:v>
      </x:c>
      <x:c r="C136" s="125" t="str">
        <x:v>Cierre y reconocimiento</x:v>
      </x:c>
      <x:c r="D136" s="125" t="str">
        <x:v>Testing</x:v>
      </x:c>
      <x:c r="E136" s="125" t="str">
        <x:v>Probar ambos tipos, campos, discrepancias, observación y aprobación.</x:v>
      </x:c>
      <x:c r="F136" s="148" t="str">
        <x:v>S6</x:v>
      </x:c>
      <x:c r="G136" s="148" t="str">
        <x:v>Alto</x:v>
      </x:c>
      <x:c r="H136" s="148" t="str"/>
      <x:c r="I136" s="162" t="str">
        <x:v>No iniciado</x:v>
      </x:c>
    </x:row>
    <x:row r="137" ht="42" customHeight="1">
      <x:c r="A137" s="161" t="str">
        <x:v>TK-133</x:v>
      </x:c>
      <x:c r="B137" s="148" t="str">
        <x:v>HU-34</x:v>
      </x:c>
      <x:c r="C137" s="125" t="str">
        <x:v>Cierre y reconocimiento</x:v>
      </x:c>
      <x:c r="D137" s="125" t="str">
        <x:v>Modelamiento</x:v>
      </x:c>
      <x:c r="E137" s="125" t="str">
        <x:v>Definir reglas de cierre y resultado detallado por requisito.</x:v>
      </x:c>
      <x:c r="F137" s="148" t="str">
        <x:v>S6</x:v>
      </x:c>
      <x:c r="G137" s="148" t="str">
        <x:v>Alto</x:v>
      </x:c>
      <x:c r="H137" s="148" t="str"/>
      <x:c r="I137" s="162" t="str">
        <x:v>No iniciado</x:v>
      </x:c>
    </x:row>
    <x:row r="138" ht="42" customHeight="1">
      <x:c r="A138" s="161" t="str">
        <x:v>TK-134</x:v>
      </x:c>
      <x:c r="B138" s="148" t="str">
        <x:v>HU-34</x:v>
      </x:c>
      <x:c r="C138" s="125" t="str">
        <x:v>Cierre y reconocimiento</x:v>
      </x:c>
      <x:c r="D138" s="125" t="str">
        <x:v>Desarrollo (Backend)</x:v>
      </x:c>
      <x:c r="E138" s="125" t="str">
        <x:v>Construir evaluador de checklist y discrepancias sin mutar el expediente.</x:v>
      </x:c>
      <x:c r="F138" s="148" t="str">
        <x:v>S6</x:v>
      </x:c>
      <x:c r="G138" s="148" t="str">
        <x:v>Alto</x:v>
      </x:c>
      <x:c r="H138" s="148" t="str"/>
      <x:c r="I138" s="162" t="str">
        <x:v>No iniciado</x:v>
      </x:c>
    </x:row>
    <x:row r="139" ht="42" customHeight="1">
      <x:c r="A139" s="161" t="str">
        <x:v>TK-135</x:v>
      </x:c>
      <x:c r="B139" s="148" t="str">
        <x:v>HU-34</x:v>
      </x:c>
      <x:c r="C139" s="125" t="str">
        <x:v>Cierre y reconocimiento</x:v>
      </x:c>
      <x:c r="D139" s="125" t="str">
        <x:v>Desarrollo (Frontend)</x:v>
      </x:c>
      <x:c r="E139" s="125" t="str">
        <x:v>Diseñar panel de cierre con bloqueos accionables.</x:v>
      </x:c>
      <x:c r="F139" s="148" t="str">
        <x:v>S6</x:v>
      </x:c>
      <x:c r="G139" s="148" t="str">
        <x:v>Alto</x:v>
      </x:c>
      <x:c r="H139" s="148" t="str"/>
      <x:c r="I139" s="162" t="str">
        <x:v>No iniciado</x:v>
      </x:c>
    </x:row>
    <x:row r="140" ht="42" customHeight="1">
      <x:c r="A140" s="161" t="str">
        <x:v>TK-136</x:v>
      </x:c>
      <x:c r="B140" s="148" t="str">
        <x:v>HU-34</x:v>
      </x:c>
      <x:c r="C140" s="125" t="str">
        <x:v>Cierre y reconocimiento</x:v>
      </x:c>
      <x:c r="D140" s="125" t="str">
        <x:v>Testing</x:v>
      </x:c>
      <x:c r="E140" s="125" t="str">
        <x:v>Cubrir combinaciones completas/incompletas y discrepancias de horas.</x:v>
      </x:c>
      <x:c r="F140" s="148" t="str">
        <x:v>S6</x:v>
      </x:c>
      <x:c r="G140" s="148" t="str">
        <x:v>Alto</x:v>
      </x:c>
      <x:c r="H140" s="148" t="str"/>
      <x:c r="I140" s="162" t="str">
        <x:v>No iniciado</x:v>
      </x:c>
    </x:row>
    <x:row r="141" ht="42" customHeight="1">
      <x:c r="A141" s="161" t="str">
        <x:v>TK-137</x:v>
      </x:c>
      <x:c r="B141" s="148" t="str">
        <x:v>HU-35</x:v>
      </x:c>
      <x:c r="C141" s="125" t="str">
        <x:v>Cierre y reconocimiento</x:v>
      </x:c>
      <x:c r="D141" s="125" t="str">
        <x:v>Modelamiento</x:v>
      </x:c>
      <x:c r="E141" s="125" t="str">
        <x:v>Definir cierre, bloqueo y reapertura de una práctica independiente.</x:v>
      </x:c>
      <x:c r="F141" s="148" t="str">
        <x:v>S6</x:v>
      </x:c>
      <x:c r="G141" s="148" t="str">
        <x:v>Alto</x:v>
      </x:c>
      <x:c r="H141" s="148" t="str"/>
      <x:c r="I141" s="162" t="str">
        <x:v>No iniciado</x:v>
      </x:c>
    </x:row>
    <x:row r="142" ht="42" customHeight="1">
      <x:c r="A142" s="161" t="str">
        <x:v>TK-138</x:v>
      </x:c>
      <x:c r="B142" s="148" t="str">
        <x:v>HU-35</x:v>
      </x:c>
      <x:c r="C142" s="125" t="str">
        <x:v>Cierre y reconocimiento</x:v>
      </x:c>
      <x:c r="D142" s="125" t="str">
        <x:v>Desarrollo (Backend)</x:v>
      </x:c>
      <x:c r="E142" s="125" t="str">
        <x:v>Implementar transición final transaccional y permisos de reapertura.</x:v>
      </x:c>
      <x:c r="F142" s="148" t="str">
        <x:v>S6</x:v>
      </x:c>
      <x:c r="G142" s="148" t="str">
        <x:v>Alto</x:v>
      </x:c>
      <x:c r="H142" s="148" t="str"/>
      <x:c r="I142" s="162" t="str">
        <x:v>No iniciado</x:v>
      </x:c>
    </x:row>
    <x:row r="143" ht="42" customHeight="1">
      <x:c r="A143" s="161" t="str">
        <x:v>TK-139</x:v>
      </x:c>
      <x:c r="B143" s="148" t="str">
        <x:v>HU-35</x:v>
      </x:c>
      <x:c r="C143" s="125" t="str">
        <x:v>Cierre y reconocimiento</x:v>
      </x:c>
      <x:c r="D143" s="125" t="str">
        <x:v>Desarrollo (Frontend)</x:v>
      </x:c>
      <x:c r="E143" s="125" t="str">
        <x:v>Añadir confirmación de cierre, resumen y advertencia de consecuencias.</x:v>
      </x:c>
      <x:c r="F143" s="148" t="str">
        <x:v>S6</x:v>
      </x:c>
      <x:c r="G143" s="148" t="str">
        <x:v>Alto</x:v>
      </x:c>
      <x:c r="H143" s="148" t="str"/>
      <x:c r="I143" s="162" t="str">
        <x:v>No iniciado</x:v>
      </x:c>
    </x:row>
    <x:row r="144" ht="42" customHeight="1">
      <x:c r="A144" s="161" t="str">
        <x:v>TK-140</x:v>
      </x:c>
      <x:c r="B144" s="148" t="str">
        <x:v>HU-35</x:v>
      </x:c>
      <x:c r="C144" s="125" t="str">
        <x:v>Cierre y reconocimiento</x:v>
      </x:c>
      <x:c r="D144" s="125" t="str">
        <x:v>Testing</x:v>
      </x:c>
      <x:c r="E144" s="125" t="str">
        <x:v>Probar bloqueos, cierre, escritura posterior, reapertura y múltiples prácticas.</x:v>
      </x:c>
      <x:c r="F144" s="148" t="str">
        <x:v>S6</x:v>
      </x:c>
      <x:c r="G144" s="148" t="str">
        <x:v>Alto</x:v>
      </x:c>
      <x:c r="H144" s="148" t="str"/>
      <x:c r="I144" s="162" t="str">
        <x:v>No iniciado</x:v>
      </x:c>
    </x:row>
    <x:row r="145" ht="42" customHeight="1">
      <x:c r="A145" s="161" t="str">
        <x:v>TK-141</x:v>
      </x:c>
      <x:c r="B145" s="148" t="str">
        <x:v>HU-36</x:v>
      </x:c>
      <x:c r="C145" s="125" t="str">
        <x:v>Cierre y reconocimiento</x:v>
      </x:c>
      <x:c r="D145" s="125" t="str">
        <x:v>Modelamiento</x:v>
      </x:c>
      <x:c r="E145" s="125" t="str">
        <x:v>Definir metas versionadas y estado académico derivado por estudiante.</x:v>
      </x:c>
      <x:c r="F145" s="148" t="str">
        <x:v>S6</x:v>
      </x:c>
      <x:c r="G145" s="148" t="str">
        <x:v>Alto</x:v>
      </x:c>
      <x:c r="H145" s="148" t="str"/>
      <x:c r="I145" s="162" t="str">
        <x:v>No iniciado</x:v>
      </x:c>
    </x:row>
    <x:row r="146" ht="42" customHeight="1">
      <x:c r="A146" s="161" t="str">
        <x:v>TK-142</x:v>
      </x:c>
      <x:c r="B146" s="148" t="str">
        <x:v>HU-36</x:v>
      </x:c>
      <x:c r="C146" s="125" t="str">
        <x:v>Cierre y reconocimiento</x:v>
      </x:c>
      <x:c r="D146" s="125" t="str">
        <x:v>Desarrollo (Backend)</x:v>
      </x:c>
      <x:c r="E146" s="125" t="str">
        <x:v>Implementar cálculo reproducible de progreso, cumplimiento y reconocimiento.</x:v>
      </x:c>
      <x:c r="F146" s="148" t="str">
        <x:v>S6</x:v>
      </x:c>
      <x:c r="G146" s="148" t="str">
        <x:v>Alto</x:v>
      </x:c>
      <x:c r="H146" s="148" t="str"/>
      <x:c r="I146" s="162" t="str">
        <x:v>No iniciado</x:v>
      </x:c>
    </x:row>
    <x:row r="147" ht="42" customHeight="1">
      <x:c r="A147" s="161" t="str">
        <x:v>TK-143</x:v>
      </x:c>
      <x:c r="B147" s="148" t="str">
        <x:v>HU-36</x:v>
      </x:c>
      <x:c r="C147" s="125" t="str">
        <x:v>Cierre y reconocimiento</x:v>
      </x:c>
      <x:c r="D147" s="125" t="str">
        <x:v>Desarrollo (Frontend)</x:v>
      </x:c>
      <x:c r="E147" s="125" t="str">
        <x:v>Mostrar estado general, meta vigente y desglose por práctica.</x:v>
      </x:c>
      <x:c r="F147" s="148" t="str">
        <x:v>S6</x:v>
      </x:c>
      <x:c r="G147" s="148" t="str">
        <x:v>Alto</x:v>
      </x:c>
      <x:c r="H147" s="148" t="str"/>
      <x:c r="I147" s="162" t="str">
        <x:v>No iniciado</x:v>
      </x:c>
    </x:row>
    <x:row r="148" ht="42" customHeight="1">
      <x:c r="A148" s="161" t="str">
        <x:v>TK-144</x:v>
      </x:c>
      <x:c r="B148" s="148" t="str">
        <x:v>HU-36</x:v>
      </x:c>
      <x:c r="C148" s="125" t="str">
        <x:v>Cierre y reconocimiento</x:v>
      </x:c>
      <x:c r="D148" s="125" t="str">
        <x:v>Testing</x:v>
      </x:c>
      <x:c r="E148" s="125" t="str">
        <x:v>Probar fronteras 699/700, prácticas activas/finalizadas y cambio de meta.</x:v>
      </x:c>
      <x:c r="F148" s="148" t="str">
        <x:v>S6</x:v>
      </x:c>
      <x:c r="G148" s="148" t="str">
        <x:v>Alto</x:v>
      </x:c>
      <x:c r="H148" s="148" t="str"/>
      <x:c r="I148" s="162" t="str">
        <x:v>No iniciado</x:v>
      </x:c>
    </x:row>
    <x:row r="149" ht="42" customHeight="1">
      <x:c r="A149" s="161" t="str">
        <x:v>TK-145</x:v>
      </x:c>
      <x:c r="B149" s="148" t="str">
        <x:v>HU-37</x:v>
      </x:c>
      <x:c r="C149" s="125" t="str">
        <x:v>Cierre y reconocimiento</x:v>
      </x:c>
      <x:c r="D149" s="125" t="str">
        <x:v>Modelamiento</x:v>
      </x:c>
      <x:c r="E149" s="125" t="str">
        <x:v>Crear entidad de reconocimiento académico vinculada al estudiante y evidencia.</x:v>
      </x:c>
      <x:c r="F149" s="148" t="str">
        <x:v>S6</x:v>
      </x:c>
      <x:c r="G149" s="148" t="str">
        <x:v>Alto</x:v>
      </x:c>
      <x:c r="H149" s="148" t="str"/>
      <x:c r="I149" s="162" t="str">
        <x:v>No iniciado</x:v>
      </x:c>
    </x:row>
    <x:row r="150" ht="42" customHeight="1">
      <x:c r="A150" s="161" t="str">
        <x:v>TK-146</x:v>
      </x:c>
      <x:c r="B150" s="148" t="str">
        <x:v>HU-37</x:v>
      </x:c>
      <x:c r="C150" s="125" t="str">
        <x:v>Cierre y reconocimiento</x:v>
      </x:c>
      <x:c r="D150" s="125" t="str">
        <x:v>Desarrollo (Backend)</x:v>
      </x:c>
      <x:c r="E150" s="125" t="str">
        <x:v>Implementar registro/adjunto, validación del estado Cumplido y transición a Reconocido.</x:v>
      </x:c>
      <x:c r="F150" s="148" t="str">
        <x:v>S6</x:v>
      </x:c>
      <x:c r="G150" s="148" t="str">
        <x:v>Alto</x:v>
      </x:c>
      <x:c r="H150" s="148" t="str"/>
      <x:c r="I150" s="162" t="str">
        <x:v>No iniciado</x:v>
      </x:c>
    </x:row>
    <x:row r="151" ht="42" customHeight="1">
      <x:c r="A151" s="161" t="str">
        <x:v>TK-147</x:v>
      </x:c>
      <x:c r="B151" s="148" t="str">
        <x:v>HU-37</x:v>
      </x:c>
      <x:c r="C151" s="125" t="str">
        <x:v>Cierre y reconocimiento</x:v>
      </x:c>
      <x:c r="D151" s="125" t="str">
        <x:v>Desarrollo (Frontend)</x:v>
      </x:c>
      <x:c r="E151" s="125" t="str">
        <x:v>Añadir formulario mínimo de documento final en el panel del coordinador.</x:v>
      </x:c>
      <x:c r="F151" s="148" t="str">
        <x:v>S6</x:v>
      </x:c>
      <x:c r="G151" s="148" t="str">
        <x:v>Alto</x:v>
      </x:c>
      <x:c r="H151" s="148" t="str"/>
      <x:c r="I151" s="162" t="str">
        <x:v>No iniciado</x:v>
      </x:c>
    </x:row>
    <x:row r="152" ht="42" customHeight="1">
      <x:c r="A152" s="161" t="str">
        <x:v>TK-148</x:v>
      </x:c>
      <x:c r="B152" s="148" t="str">
        <x:v>HU-37</x:v>
      </x:c>
      <x:c r="C152" s="125" t="str">
        <x:v>Cierre y reconocimiento</x:v>
      </x:c>
      <x:c r="D152" s="125" t="str">
        <x:v>Testing</x:v>
      </x:c>
      <x:c r="E152" s="125" t="str">
        <x:v>Probar requisito previo, duplicidad, permisos y ausencia de funciones de Consejo.</x:v>
      </x:c>
      <x:c r="F152" s="148" t="str">
        <x:v>S6</x:v>
      </x:c>
      <x:c r="G152" s="148" t="str">
        <x:v>Alto</x:v>
      </x:c>
      <x:c r="H152" s="148" t="str"/>
      <x:c r="I152" s="162" t="str">
        <x:v>No iniciado</x:v>
      </x:c>
    </x:row>
    <x:row r="153" ht="42" customHeight="1">
      <x:c r="A153" s="161" t="str">
        <x:v>TK-149</x:v>
      </x:c>
      <x:c r="B153" s="148" t="str">
        <x:v>HU-38</x:v>
      </x:c>
      <x:c r="C153" s="125" t="str">
        <x:v>Monitoreo, auditoría y reportes</x:v>
      </x:c>
      <x:c r="D153" s="125" t="str">
        <x:v>Modelamiento</x:v>
      </x:c>
      <x:c r="E153" s="125" t="str">
        <x:v>Definir consulta resumen del estudiante y prioridades de acción.</x:v>
      </x:c>
      <x:c r="F153" s="148" t="str">
        <x:v>S7</x:v>
      </x:c>
      <x:c r="G153" s="148" t="str">
        <x:v>Medio</x:v>
      </x:c>
      <x:c r="H153" s="148" t="str"/>
      <x:c r="I153" s="162" t="str">
        <x:v>No iniciado</x:v>
      </x:c>
    </x:row>
    <x:row r="154" ht="42" customHeight="1">
      <x:c r="A154" s="161" t="str">
        <x:v>TK-150</x:v>
      </x:c>
      <x:c r="B154" s="148" t="str">
        <x:v>HU-38</x:v>
      </x:c>
      <x:c r="C154" s="125" t="str">
        <x:v>Monitoreo, auditoría y reportes</x:v>
      </x:c>
      <x:c r="D154" s="125" t="str">
        <x:v>Desarrollo (Backend)</x:v>
      </x:c>
      <x:c r="E154" s="125" t="str">
        <x:v>Crear endpoint agregado con datos autorizados y paginación histórica.</x:v>
      </x:c>
      <x:c r="F154" s="148" t="str">
        <x:v>S7</x:v>
      </x:c>
      <x:c r="G154" s="148" t="str">
        <x:v>Medio</x:v>
      </x:c>
      <x:c r="H154" s="148" t="str"/>
      <x:c r="I154" s="162" t="str">
        <x:v>No iniciado</x:v>
      </x:c>
    </x:row>
    <x:row r="155" ht="42" customHeight="1">
      <x:c r="A155" s="161" t="str">
        <x:v>TK-151</x:v>
      </x:c>
      <x:c r="B155" s="148" t="str">
        <x:v>HU-38</x:v>
      </x:c>
      <x:c r="C155" s="125" t="str">
        <x:v>Monitoreo, auditoría y reportes</x:v>
      </x:c>
      <x:c r="D155" s="125" t="str">
        <x:v>Desarrollo (Frontend)</x:v>
      </x:c>
      <x:c r="E155" s="125" t="str">
        <x:v>Diseñar dashboard web responsive con tarjetas y accesos directos.</x:v>
      </x:c>
      <x:c r="F155" s="148" t="str">
        <x:v>S7</x:v>
      </x:c>
      <x:c r="G155" s="148" t="str">
        <x:v>Medio</x:v>
      </x:c>
      <x:c r="H155" s="148" t="str"/>
      <x:c r="I155" s="162" t="str">
        <x:v>No iniciado</x:v>
      </x:c>
    </x:row>
    <x:row r="156" ht="42" customHeight="1">
      <x:c r="A156" s="161" t="str">
        <x:v>TK-152</x:v>
      </x:c>
      <x:c r="B156" s="148" t="str">
        <x:v>HU-38</x:v>
      </x:c>
      <x:c r="C156" s="125" t="str">
        <x:v>Monitoreo, auditoría y reportes</x:v>
      </x:c>
      <x:c r="D156" s="125" t="str">
        <x:v>Testing</x:v>
      </x:c>
      <x:c r="E156" s="125" t="str">
        <x:v>Verificar coherencia, enlaces, múltiples prácticas y tamaños de pantalla.</x:v>
      </x:c>
      <x:c r="F156" s="148" t="str">
        <x:v>S7</x:v>
      </x:c>
      <x:c r="G156" s="148" t="str">
        <x:v>Medio</x:v>
      </x:c>
      <x:c r="H156" s="148" t="str"/>
      <x:c r="I156" s="162" t="str">
        <x:v>No iniciado</x:v>
      </x:c>
    </x:row>
    <x:row r="157" ht="42" customHeight="1">
      <x:c r="A157" s="161" t="str">
        <x:v>TK-153</x:v>
      </x:c>
      <x:c r="B157" s="148" t="str">
        <x:v>HU-39</x:v>
      </x:c>
      <x:c r="C157" s="125" t="str">
        <x:v>Monitoreo, auditoría y reportes</x:v>
      </x:c>
      <x:c r="D157" s="125" t="str">
        <x:v>Modelamiento</x:v>
      </x:c>
      <x:c r="E157" s="125" t="str">
        <x:v>Diseñar vistas materializadas/consultas de pendientes y filtros.</x:v>
      </x:c>
      <x:c r="F157" s="148" t="str">
        <x:v>S7</x:v>
      </x:c>
      <x:c r="G157" s="148" t="str">
        <x:v>Alto</x:v>
      </x:c>
      <x:c r="H157" s="148" t="str"/>
      <x:c r="I157" s="162" t="str">
        <x:v>No iniciado</x:v>
      </x:c>
    </x:row>
    <x:row r="158" ht="42" customHeight="1">
      <x:c r="A158" s="161" t="str">
        <x:v>TK-154</x:v>
      </x:c>
      <x:c r="B158" s="148" t="str">
        <x:v>HU-39</x:v>
      </x:c>
      <x:c r="C158" s="125" t="str">
        <x:v>Monitoreo, auditoría y reportes</x:v>
      </x:c>
      <x:c r="D158" s="125" t="str">
        <x:v>Desarrollo (Backend)</x:v>
      </x:c>
      <x:c r="E158" s="125" t="str">
        <x:v>Implementar indicadores paginados y enlaces al detalle.</x:v>
      </x:c>
      <x:c r="F158" s="148" t="str">
        <x:v>S7</x:v>
      </x:c>
      <x:c r="G158" s="148" t="str">
        <x:v>Alto</x:v>
      </x:c>
      <x:c r="H158" s="148" t="str"/>
      <x:c r="I158" s="162" t="str">
        <x:v>No iniciado</x:v>
      </x:c>
    </x:row>
    <x:row r="159" ht="42" customHeight="1">
      <x:c r="A159" s="161" t="str">
        <x:v>TK-155</x:v>
      </x:c>
      <x:c r="B159" s="148" t="str">
        <x:v>HU-39</x:v>
      </x:c>
      <x:c r="C159" s="125" t="str">
        <x:v>Monitoreo, auditoría y reportes</x:v>
      </x:c>
      <x:c r="D159" s="125" t="str">
        <x:v>Desarrollo (Frontend)</x:v>
      </x:c>
      <x:c r="E159" s="125" t="str">
        <x:v>Construir dashboard operativo con filtros persistentes.</x:v>
      </x:c>
      <x:c r="F159" s="148" t="str">
        <x:v>S7</x:v>
      </x:c>
      <x:c r="G159" s="148" t="str">
        <x:v>Alto</x:v>
      </x:c>
      <x:c r="H159" s="148" t="str"/>
      <x:c r="I159" s="162" t="str">
        <x:v>No iniciado</x:v>
      </x:c>
    </x:row>
    <x:row r="160" ht="42" customHeight="1">
      <x:c r="A160" s="161" t="str">
        <x:v>TK-156</x:v>
      </x:c>
      <x:c r="B160" s="148" t="str">
        <x:v>HU-39</x:v>
      </x:c>
      <x:c r="C160" s="125" t="str">
        <x:v>Monitoreo, auditoría y reportes</x:v>
      </x:c>
      <x:c r="D160" s="125" t="str">
        <x:v>Testing</x:v>
      </x:c>
      <x:c r="E160" s="125" t="str">
        <x:v>Conciliar KPIs/listados, campus, filtros y datos con volumen representativo.</x:v>
      </x:c>
      <x:c r="F160" s="148" t="str">
        <x:v>S7</x:v>
      </x:c>
      <x:c r="G160" s="148" t="str">
        <x:v>Alto</x:v>
      </x:c>
      <x:c r="H160" s="148" t="str"/>
      <x:c r="I160" s="162" t="str">
        <x:v>No iniciado</x:v>
      </x:c>
    </x:row>
    <x:row r="161" ht="42" customHeight="1">
      <x:c r="A161" s="161" t="str">
        <x:v>TK-157</x:v>
      </x:c>
      <x:c r="B161" s="148" t="str">
        <x:v>HU-40</x:v>
      </x:c>
      <x:c r="C161" s="125" t="str">
        <x:v>Monitoreo, auditoría y reportes</x:v>
      </x:c>
      <x:c r="D161" s="125" t="str">
        <x:v>Modelamiento</x:v>
      </x:c>
      <x:c r="E161" s="125" t="str">
        <x:v>Modelar notificaciones, destinatarios, eventos y lectura.</x:v>
      </x:c>
      <x:c r="F161" s="148" t="str">
        <x:v>S7</x:v>
      </x:c>
      <x:c r="G161" s="148" t="str">
        <x:v>Medio</x:v>
      </x:c>
      <x:c r="H161" s="148" t="str"/>
      <x:c r="I161" s="162" t="str">
        <x:v>No iniciado</x:v>
      </x:c>
    </x:row>
    <x:row r="162" ht="42" customHeight="1">
      <x:c r="A162" s="161" t="str">
        <x:v>TK-158</x:v>
      </x:c>
      <x:c r="B162" s="148" t="str">
        <x:v>HU-40</x:v>
      </x:c>
      <x:c r="C162" s="125" t="str">
        <x:v>Monitoreo, auditoría y reportes</x:v>
      </x:c>
      <x:c r="D162" s="125" t="str">
        <x:v>Desarrollo (Backend)</x:v>
      </x:c>
      <x:c r="E162" s="125" t="str">
        <x:v>Implementar publicación idempotente y consulta por usuario.</x:v>
      </x:c>
      <x:c r="F162" s="148" t="str">
        <x:v>S7</x:v>
      </x:c>
      <x:c r="G162" s="148" t="str">
        <x:v>Medio</x:v>
      </x:c>
      <x:c r="H162" s="148" t="str"/>
      <x:c r="I162" s="162" t="str">
        <x:v>No iniciado</x:v>
      </x:c>
    </x:row>
    <x:row r="163" ht="42" customHeight="1">
      <x:c r="A163" s="161" t="str">
        <x:v>TK-159</x:v>
      </x:c>
      <x:c r="B163" s="148" t="str">
        <x:v>HU-40</x:v>
      </x:c>
      <x:c r="C163" s="125" t="str">
        <x:v>Monitoreo, auditoría y reportes</x:v>
      </x:c>
      <x:c r="D163" s="125" t="str">
        <x:v>Desarrollo (Frontend)</x:v>
      </x:c>
      <x:c r="E163" s="125" t="str">
        <x:v>Crear centro de notificaciones y navegación al elemento relacionado.</x:v>
      </x:c>
      <x:c r="F163" s="148" t="str">
        <x:v>S7</x:v>
      </x:c>
      <x:c r="G163" s="148" t="str">
        <x:v>Medio</x:v>
      </x:c>
      <x:c r="H163" s="148" t="str"/>
      <x:c r="I163" s="162" t="str">
        <x:v>No iniciado</x:v>
      </x:c>
    </x:row>
    <x:row r="164" ht="42" customHeight="1">
      <x:c r="A164" s="161" t="str">
        <x:v>TK-160</x:v>
      </x:c>
      <x:c r="B164" s="148" t="str">
        <x:v>HU-40</x:v>
      </x:c>
      <x:c r="C164" s="125" t="str">
        <x:v>Monitoreo, auditoría y reportes</x:v>
      </x:c>
      <x:c r="D164" s="125" t="str">
        <x:v>Testing</x:v>
      </x:c>
      <x:c r="E164" s="125" t="str">
        <x:v>Probar duplicados, destinatario, lectura, enlace y eventos configurados.</x:v>
      </x:c>
      <x:c r="F164" s="148" t="str">
        <x:v>S7</x:v>
      </x:c>
      <x:c r="G164" s="148" t="str">
        <x:v>Medio</x:v>
      </x:c>
      <x:c r="H164" s="148" t="str"/>
      <x:c r="I164" s="162" t="str">
        <x:v>No iniciado</x:v>
      </x:c>
    </x:row>
    <x:row r="165" ht="42" customHeight="1">
      <x:c r="A165" s="161" t="str">
        <x:v>TK-161</x:v>
      </x:c>
      <x:c r="B165" s="148" t="str">
        <x:v>HU-41</x:v>
      </x:c>
      <x:c r="C165" s="125" t="str">
        <x:v>Monitoreo, auditoría y reportes</x:v>
      </x:c>
      <x:c r="D165" s="125" t="str">
        <x:v>Modelamiento</x:v>
      </x:c>
      <x:c r="E165" s="125" t="str">
        <x:v>Crear índices y criterios de búsqueda sobre expedientes históricos.</x:v>
      </x:c>
      <x:c r="F165" s="148" t="str">
        <x:v>S7</x:v>
      </x:c>
      <x:c r="G165" s="148" t="str">
        <x:v>Medio</x:v>
      </x:c>
      <x:c r="H165" s="148" t="str"/>
      <x:c r="I165" s="162" t="str">
        <x:v>No iniciado</x:v>
      </x:c>
    </x:row>
    <x:row r="166" ht="42" customHeight="1">
      <x:c r="A166" s="161" t="str">
        <x:v>TK-162</x:v>
      </x:c>
      <x:c r="B166" s="148" t="str">
        <x:v>HU-41</x:v>
      </x:c>
      <x:c r="C166" s="125" t="str">
        <x:v>Monitoreo, auditoría y reportes</x:v>
      </x:c>
      <x:c r="D166" s="125" t="str">
        <x:v>Desarrollo (Backend)</x:v>
      </x:c>
      <x:c r="E166" s="125" t="str">
        <x:v>Implementar búsqueda paginada con filtros y autorización.</x:v>
      </x:c>
      <x:c r="F166" s="148" t="str">
        <x:v>S7</x:v>
      </x:c>
      <x:c r="G166" s="148" t="str">
        <x:v>Medio</x:v>
      </x:c>
      <x:c r="H166" s="148" t="str"/>
      <x:c r="I166" s="162" t="str">
        <x:v>No iniciado</x:v>
      </x:c>
    </x:row>
    <x:row r="167" ht="42" customHeight="1">
      <x:c r="A167" s="161" t="str">
        <x:v>TK-163</x:v>
      </x:c>
      <x:c r="B167" s="148" t="str">
        <x:v>HU-41</x:v>
      </x:c>
      <x:c r="C167" s="125" t="str">
        <x:v>Monitoreo, auditoría y reportes</x:v>
      </x:c>
      <x:c r="D167" s="125" t="str">
        <x:v>Desarrollo (Frontend)</x:v>
      </x:c>
      <x:c r="E167" s="125" t="str">
        <x:v>Diseñar módulo de consulta y acceso al expediente en solo lectura cuando corresponda.</x:v>
      </x:c>
      <x:c r="F167" s="148" t="str">
        <x:v>S7</x:v>
      </x:c>
      <x:c r="G167" s="148" t="str">
        <x:v>Medio</x:v>
      </x:c>
      <x:c r="H167" s="148" t="str"/>
      <x:c r="I167" s="162" t="str">
        <x:v>No iniciado</x:v>
      </x:c>
    </x:row>
    <x:row r="168" ht="42" customHeight="1">
      <x:c r="A168" s="161" t="str">
        <x:v>TK-164</x:v>
      </x:c>
      <x:c r="B168" s="148" t="str">
        <x:v>HU-41</x:v>
      </x:c>
      <x:c r="C168" s="125" t="str">
        <x:v>Monitoreo, auditoría y reportes</x:v>
      </x:c>
      <x:c r="D168" s="125" t="str">
        <x:v>Testing</x:v>
      </x:c>
      <x:c r="E168" s="125" t="str">
        <x:v>Evaluar filtros combinados, campus, históricos y rendimiento.</x:v>
      </x:c>
      <x:c r="F168" s="148" t="str">
        <x:v>S7</x:v>
      </x:c>
      <x:c r="G168" s="148" t="str">
        <x:v>Medio</x:v>
      </x:c>
      <x:c r="H168" s="148" t="str"/>
      <x:c r="I168" s="162" t="str">
        <x:v>No iniciado</x:v>
      </x:c>
    </x:row>
    <x:row r="169" ht="42" customHeight="1">
      <x:c r="A169" s="161" t="str">
        <x:v>TK-165</x:v>
      </x:c>
      <x:c r="B169" s="148" t="str">
        <x:v>HU-42</x:v>
      </x:c>
      <x:c r="C169" s="125" t="str">
        <x:v>Monitoreo, auditoría y reportes</x:v>
      </x:c>
      <x:c r="D169" s="125" t="str">
        <x:v>Modelamiento</x:v>
      </x:c>
      <x:c r="E169" s="125" t="str">
        <x:v>Definir datasets de reporte y metadatos de exportación.</x:v>
      </x:c>
      <x:c r="F169" s="148" t="str">
        <x:v>S7</x:v>
      </x:c>
      <x:c r="G169" s="148" t="str">
        <x:v>Medio</x:v>
      </x:c>
      <x:c r="H169" s="148" t="str"/>
      <x:c r="I169" s="162" t="str">
        <x:v>No iniciado</x:v>
      </x:c>
    </x:row>
    <x:row r="170" ht="42" customHeight="1">
      <x:c r="A170" s="161" t="str">
        <x:v>TK-166</x:v>
      </x:c>
      <x:c r="B170" s="148" t="str">
        <x:v>HU-42</x:v>
      </x:c>
      <x:c r="C170" s="125" t="str">
        <x:v>Monitoreo, auditoría y reportes</x:v>
      </x:c>
      <x:c r="D170" s="125" t="str">
        <x:v>Desarrollo (Backend)</x:v>
      </x:c>
      <x:c r="E170" s="125" t="str">
        <x:v>Implementar consultas, cálculos y generadores de Excel/PDF.</x:v>
      </x:c>
      <x:c r="F170" s="148" t="str">
        <x:v>S7</x:v>
      </x:c>
      <x:c r="G170" s="148" t="str">
        <x:v>Medio</x:v>
      </x:c>
      <x:c r="H170" s="148" t="str"/>
      <x:c r="I170" s="162" t="str">
        <x:v>No iniciado</x:v>
      </x:c>
    </x:row>
    <x:row r="171" ht="42" customHeight="1">
      <x:c r="A171" s="161" t="str">
        <x:v>TK-167</x:v>
      </x:c>
      <x:c r="B171" s="148" t="str">
        <x:v>HU-42</x:v>
      </x:c>
      <x:c r="C171" s="125" t="str">
        <x:v>Monitoreo, auditoría y reportes</x:v>
      </x:c>
      <x:c r="D171" s="125" t="str">
        <x:v>Desarrollo (Frontend)</x:v>
      </x:c>
      <x:c r="E171" s="125" t="str">
        <x:v>Crear filtros, vista previa y descarga de reportes.</x:v>
      </x:c>
      <x:c r="F171" s="148" t="str">
        <x:v>S7</x:v>
      </x:c>
      <x:c r="G171" s="148" t="str">
        <x:v>Medio</x:v>
      </x:c>
      <x:c r="H171" s="148" t="str"/>
      <x:c r="I171" s="162" t="str">
        <x:v>No iniciado</x:v>
      </x:c>
    </x:row>
    <x:row r="172" ht="42" customHeight="1">
      <x:c r="A172" s="161" t="str">
        <x:v>TK-168</x:v>
      </x:c>
      <x:c r="B172" s="148" t="str">
        <x:v>HU-42</x:v>
      </x:c>
      <x:c r="C172" s="125" t="str">
        <x:v>Monitoreo, auditoría y reportes</x:v>
      </x:c>
      <x:c r="D172" s="125" t="str">
        <x:v>Testing</x:v>
      </x:c>
      <x:c r="E172" s="125" t="str">
        <x:v>Conciliar totales/porcentajes, filtros, permisos y apertura de archivos.</x:v>
      </x:c>
      <x:c r="F172" s="148" t="str">
        <x:v>S7</x:v>
      </x:c>
      <x:c r="G172" s="148" t="str">
        <x:v>Medio</x:v>
      </x:c>
      <x:c r="H172" s="148" t="str"/>
      <x:c r="I172" s="162" t="str">
        <x:v>No iniciado</x:v>
      </x:c>
    </x:row>
    <x:row r="173" ht="42" customHeight="1">
      <x:c r="A173" s="161" t="str">
        <x:v>TK-169</x:v>
      </x:c>
      <x:c r="B173" s="148" t="str">
        <x:v>HU-43</x:v>
      </x:c>
      <x:c r="C173" s="125" t="str">
        <x:v>Monitoreo, auditoría y reportes</x:v>
      </x:c>
      <x:c r="D173" s="125" t="str">
        <x:v>Modelamiento</x:v>
      </x:c>
      <x:c r="E173" s="125" t="str">
        <x:v>Definir rol auditor, ámbito global y vistas consolidadas.</x:v>
      </x:c>
      <x:c r="F173" s="148" t="str">
        <x:v>S7</x:v>
      </x:c>
      <x:c r="G173" s="148" t="str">
        <x:v>Alto</x:v>
      </x:c>
      <x:c r="H173" s="148" t="str"/>
      <x:c r="I173" s="162" t="str">
        <x:v>No iniciado</x:v>
      </x:c>
    </x:row>
    <x:row r="174" ht="42" customHeight="1">
      <x:c r="A174" s="161" t="str">
        <x:v>TK-170</x:v>
      </x:c>
      <x:c r="B174" s="148" t="str">
        <x:v>HU-43</x:v>
      </x:c>
      <x:c r="C174" s="125" t="str">
        <x:v>Monitoreo, auditoría y reportes</x:v>
      </x:c>
      <x:c r="D174" s="125" t="str">
        <x:v>Desarrollo (Backend)</x:v>
      </x:c>
      <x:c r="E174" s="125" t="str">
        <x:v>Implementar consultas multi-campus de solo lectura y autorización estricta.</x:v>
      </x:c>
      <x:c r="F174" s="148" t="str">
        <x:v>S7</x:v>
      </x:c>
      <x:c r="G174" s="148" t="str">
        <x:v>Alto</x:v>
      </x:c>
      <x:c r="H174" s="148" t="str"/>
      <x:c r="I174" s="162" t="str">
        <x:v>No iniciado</x:v>
      </x:c>
    </x:row>
    <x:row r="175" ht="42" customHeight="1">
      <x:c r="A175" s="161" t="str">
        <x:v>TK-171</x:v>
      </x:c>
      <x:c r="B175" s="148" t="str">
        <x:v>HU-43</x:v>
      </x:c>
      <x:c r="C175" s="125" t="str">
        <x:v>Monitoreo, auditoría y reportes</x:v>
      </x:c>
      <x:c r="D175" s="125" t="str">
        <x:v>Desarrollo (Frontend)</x:v>
      </x:c>
      <x:c r="E175" s="125" t="str">
        <x:v>Construir dashboard consolidado sin controles de mutación.</x:v>
      </x:c>
      <x:c r="F175" s="148" t="str">
        <x:v>S7</x:v>
      </x:c>
      <x:c r="G175" s="148" t="str">
        <x:v>Alto</x:v>
      </x:c>
      <x:c r="H175" s="148" t="str"/>
      <x:c r="I175" s="162" t="str">
        <x:v>No iniciado</x:v>
      </x:c>
    </x:row>
    <x:row r="176" ht="42" customHeight="1">
      <x:c r="A176" s="161" t="str">
        <x:v>TK-172</x:v>
      </x:c>
      <x:c r="B176" s="148" t="str">
        <x:v>HU-43</x:v>
      </x:c>
      <x:c r="C176" s="125" t="str">
        <x:v>Monitoreo, auditoría y reportes</x:v>
      </x:c>
      <x:c r="D176" s="125" t="str">
        <x:v>Testing</x:v>
      </x:c>
      <x:c r="E176" s="125" t="str">
        <x:v>Probar filtros de tres campus, drill-down y denegación de toda escritura.</x:v>
      </x:c>
      <x:c r="F176" s="148" t="str">
        <x:v>S7</x:v>
      </x:c>
      <x:c r="G176" s="148" t="str">
        <x:v>Alto</x:v>
      </x:c>
      <x:c r="H176" s="148" t="str"/>
      <x:c r="I176" s="162" t="str">
        <x:v>No iniciado</x:v>
      </x:c>
    </x:row>
    <x:row r="177" ht="42" customHeight="1">
      <x:c r="A177" s="161" t="str">
        <x:v>TK-173</x:v>
      </x:c>
      <x:c r="B177" s="148" t="str">
        <x:v>HU-44</x:v>
      </x:c>
      <x:c r="C177" s="125" t="str">
        <x:v>Monitoreo, auditoría y reportes</x:v>
      </x:c>
      <x:c r="D177" s="125" t="str">
        <x:v>Modelamiento</x:v>
      </x:c>
      <x:c r="E177" s="125" t="str">
        <x:v>Crear eventos de auditoría inmutables con ámbito y referencia de entidad.</x:v>
      </x:c>
      <x:c r="F177" s="148" t="str">
        <x:v>S7</x:v>
      </x:c>
      <x:c r="G177" s="148" t="str">
        <x:v>Alto</x:v>
      </x:c>
      <x:c r="H177" s="148" t="str"/>
      <x:c r="I177" s="162" t="str">
        <x:v>No iniciado</x:v>
      </x:c>
    </x:row>
    <x:row r="178" ht="42" customHeight="1">
      <x:c r="A178" s="161" t="str">
        <x:v>TK-174</x:v>
      </x:c>
      <x:c r="B178" s="148" t="str">
        <x:v>HU-44</x:v>
      </x:c>
      <x:c r="C178" s="125" t="str">
        <x:v>Monitoreo, auditoría y reportes</x:v>
      </x:c>
      <x:c r="D178" s="125" t="str">
        <x:v>Desarrollo (Backend)</x:v>
      </x:c>
      <x:c r="E178" s="125" t="str">
        <x:v>Instrumentar operaciones críticas y consulta filtrada de eventos.</x:v>
      </x:c>
      <x:c r="F178" s="148" t="str">
        <x:v>S7</x:v>
      </x:c>
      <x:c r="G178" s="148" t="str">
        <x:v>Alto</x:v>
      </x:c>
      <x:c r="H178" s="148" t="str"/>
      <x:c r="I178" s="162" t="str">
        <x:v>No iniciado</x:v>
      </x:c>
    </x:row>
    <x:row r="179" ht="42" customHeight="1">
      <x:c r="A179" s="161" t="str">
        <x:v>TK-175</x:v>
      </x:c>
      <x:c r="B179" s="148" t="str">
        <x:v>HU-44</x:v>
      </x:c>
      <x:c r="C179" s="125" t="str">
        <x:v>Monitoreo, auditoría y reportes</x:v>
      </x:c>
      <x:c r="D179" s="125" t="str">
        <x:v>Desarrollo (Frontend)</x:v>
      </x:c>
      <x:c r="E179" s="125" t="str">
        <x:v>Diseñar visor de auditoría con filtros y detalle seguro.</x:v>
      </x:c>
      <x:c r="F179" s="148" t="str">
        <x:v>S7</x:v>
      </x:c>
      <x:c r="G179" s="148" t="str">
        <x:v>Alto</x:v>
      </x:c>
      <x:c r="H179" s="148" t="str"/>
      <x:c r="I179" s="162" t="str">
        <x:v>No iniciado</x:v>
      </x:c>
    </x:row>
    <x:row r="180" ht="42" customHeight="1">
      <x:c r="A180" s="161" t="str">
        <x:v>TK-176</x:v>
      </x:c>
      <x:c r="B180" s="148" t="str">
        <x:v>HU-44</x:v>
      </x:c>
      <x:c r="C180" s="125" t="str">
        <x:v>Monitoreo, auditoría y reportes</x:v>
      </x:c>
      <x:c r="D180" s="125" t="str">
        <x:v>Testing</x:v>
      </x:c>
      <x:c r="E180" s="125" t="str">
        <x:v>Verificar cobertura de eventos, inmutabilidad, alcance y datos sensibles.</x:v>
      </x:c>
      <x:c r="F180" s="148" t="str">
        <x:v>S7</x:v>
      </x:c>
      <x:c r="G180" s="148" t="str">
        <x:v>Alto</x:v>
      </x:c>
      <x:c r="H180" s="148" t="str"/>
      <x:c r="I180" s="162" t="str">
        <x:v>No iniciado</x:v>
      </x:c>
    </x:row>
    <x:row r="181" ht="42" customHeight="1">
      <x:c r="A181" s="161" t="str">
        <x:v>TK-177</x:v>
      </x:c>
      <x:c r="B181" s="148" t="str">
        <x:v>HU-45</x:v>
      </x:c>
      <x:c r="C181" s="125" t="str">
        <x:v>Monitoreo, auditoría y reportes</x:v>
      </x:c>
      <x:c r="D181" s="125" t="str">
        <x:v>Modelamiento</x:v>
      </x:c>
      <x:c r="E181" s="125" t="str">
        <x:v>Definir staging de importación, claves de origen y catálogo de errores.</x:v>
      </x:c>
      <x:c r="F181" s="148" t="str">
        <x:v>S7</x:v>
      </x:c>
      <x:c r="G181" s="148" t="str">
        <x:v>Medio</x:v>
      </x:c>
      <x:c r="H181" s="148" t="str"/>
      <x:c r="I181" s="162" t="str">
        <x:v>No iniciado</x:v>
      </x:c>
    </x:row>
    <x:row r="182" ht="42" customHeight="1">
      <x:c r="A182" s="161" t="str">
        <x:v>TK-178</x:v>
      </x:c>
      <x:c r="B182" s="148" t="str">
        <x:v>HU-45</x:v>
      </x:c>
      <x:c r="C182" s="125" t="str">
        <x:v>Monitoreo, auditoría y reportes</x:v>
      </x:c>
      <x:c r="D182" s="125" t="str">
        <x:v>Desarrollo (Backend)</x:v>
      </x:c>
      <x:c r="E182" s="125" t="str">
        <x:v>Implementar validación previa, confirmación transaccional e idempotencia.</x:v>
      </x:c>
      <x:c r="F182" s="148" t="str">
        <x:v>S7</x:v>
      </x:c>
      <x:c r="G182" s="148" t="str">
        <x:v>Medio</x:v>
      </x:c>
      <x:c r="H182" s="148" t="str"/>
      <x:c r="I182" s="162" t="str">
        <x:v>No iniciado</x:v>
      </x:c>
    </x:row>
    <x:row r="183" ht="42" customHeight="1">
      <x:c r="A183" s="161" t="str">
        <x:v>TK-179</x:v>
      </x:c>
      <x:c r="B183" s="148" t="str">
        <x:v>HU-45</x:v>
      </x:c>
      <x:c r="C183" s="125" t="str">
        <x:v>Monitoreo, auditoría y reportes</x:v>
      </x:c>
      <x:c r="D183" s="125" t="str">
        <x:v>Desarrollo (Frontend)</x:v>
      </x:c>
      <x:c r="E183" s="125" t="str">
        <x:v>Crear carga de plantilla, resumen de errores y confirmación.</x:v>
      </x:c>
      <x:c r="F183" s="148" t="str">
        <x:v>S7</x:v>
      </x:c>
      <x:c r="G183" s="148" t="str">
        <x:v>Medio</x:v>
      </x:c>
      <x:c r="H183" s="148" t="str"/>
      <x:c r="I183" s="162" t="str">
        <x:v>No iniciado</x:v>
      </x:c>
    </x:row>
    <x:row r="184" ht="42" customHeight="1">
      <x:c r="A184" s="161" t="str">
        <x:v>TK-180</x:v>
      </x:c>
      <x:c r="B184" s="148" t="str">
        <x:v>HU-45</x:v>
      </x:c>
      <x:c r="C184" s="125" t="str">
        <x:v>Monitoreo, auditoría y reportes</x:v>
      </x:c>
      <x:c r="D184" s="125" t="str">
        <x:v>Testing</x:v>
      </x:c>
      <x:c r="E184" s="125" t="str">
        <x:v>Probar duplicados, filas inválidas, reintento, campus y restricción a activas.</x:v>
      </x:c>
      <x:c r="F184" s="148" t="str">
        <x:v>S7</x:v>
      </x:c>
      <x:c r="G184" s="148" t="str">
        <x:v>Medio</x:v>
      </x:c>
      <x:c r="H184" s="148" t="str"/>
      <x:c r="I184" s="162" t="str">
        <x:v>No iniciado</x:v>
      </x:c>
    </x:row>
  </x:sheetData>
  <x:mergeCells>
    <x:mergeCell ref="A1:I1"/>
    <x:mergeCell ref="A2:I2"/>
  </x:mergeCells>
  <x:conditionalFormatting sqref="G5:G184">
    <x:cfRule type="containsText" dxfId="10" priority="1" operator="containsText" text="Alto"/>
    <x:cfRule type="containsText" dxfId="11" priority="2" operator="containsText" text="Medio"/>
    <x:cfRule type="containsText" dxfId="12" priority="3" operator="containsText" text="Bajo"/>
  </x:conditionalFormatting>
  <x:conditionalFormatting sqref="I5:I184">
    <x:cfRule type="containsText" dxfId="13" priority="4" operator="containsText" text="No iniciado"/>
    <x:cfRule type="containsText" dxfId="14" priority="5" operator="containsText" text="En curso"/>
    <x:cfRule type="containsText" dxfId="15" priority="6" operator="containsText" text="Bloqueado"/>
    <x:cfRule type="containsText" dxfId="16" priority="7" operator="containsText" text="Completado"/>
  </x:conditionalFormatting>
  <x:conditionalFormatting sqref="D5:D184">
    <x:cfRule type="containsText" dxfId="17" priority="8" operator="containsText" text="Modelamiento"/>
    <x:cfRule type="containsText" dxfId="18" priority="9" operator="containsText" text="Backend"/>
    <x:cfRule type="containsText" dxfId="19" priority="10" operator="containsText" text="Frontend"/>
    <x:cfRule type="containsText" dxfId="20" priority="11" operator="containsText" text="Testing"/>
  </x:conditionalFormatting>
  <x:dataValidations count="3">
    <x:dataValidation type="list" sqref="F5:F184">
      <x:formula1>"S0,S1,S2,S3,S4,S5,S6,S7"</x:formula1>
    </x:dataValidation>
    <x:dataValidation type="list" sqref="G5:G184">
      <x:formula1>"Alto,Medio,Bajo"</x:formula1>
    </x:dataValidation>
    <x:dataValidation type="list" sqref="I5:I184">
      <x:formula1>"No iniciado,En curso,Bloqueado,Completado"</x:formula1>
    </x:dataValidation>
  </x:dataValidations>
  <x:pageMargins left="0.7" right="0.7" top="0.75" bottom="0.75" header="0.3" footer="0.3"/>
  <x:tableParts count="1">
    <x:tablePart xmlns:r="http://schemas.openxmlformats.org/officeDocument/2006/relationships" r:id="R2e292865524848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34" hidden="0" customWidth="1"/>
    <x:col min="4" max="4" width="24" hidden="0" customWidth="1"/>
    <x:col min="5" max="5" width="27" hidden="0" customWidth="1"/>
    <x:col min="6" max="6" width="24" hidden="0" customWidth="1"/>
    <x:col min="7" max="7" width="12" hidden="0" customWidth="1"/>
    <x:col min="8" max="8" width="24" hidden="0" customWidth="1"/>
    <x:col min="9" max="9" width="47" hidden="0" customWidth="1"/>
    <x:col min="10" max="10" width="58" hidden="0" customWidth="1"/>
    <x:col min="11" max="11" width="26" hidden="0" customWidth="1"/>
  </x:cols>
  <x:sheetData>
    <x:row r="1" ht="34" customHeight="1">
      <x:c r="A1" s="99" t="str">
        <x:v>MATRIZ DOCUMENTAL Y DE REGISTROS</x:v>
      </x:c>
      <x:c r="B1" s="99"/>
      <x:c r="C1" s="99"/>
      <x:c r="D1" s="99"/>
      <x:c r="E1" s="99"/>
      <x:c r="F1" s="99"/>
      <x:c r="G1" s="99"/>
      <x:c r="H1" s="99"/>
      <x:c r="I1" s="99"/>
      <x:c r="J1" s="99"/>
      <x:c r="K1" s="99"/>
    </x:row>
    <x:row r="2" ht="30" customHeight="1">
      <x:c r="A2" s="100" t="str">
        <x:v>Define qué se genera, qué se carga, quién revisa y qué bloquea el avance. Los documentos del reglamento general que no aparecen en el proceso confirmado no se agregan automáticamente.</x:v>
      </x:c>
      <x:c r="B2" s="100"/>
      <x:c r="C2" s="100"/>
      <x:c r="D2" s="100"/>
      <x:c r="E2" s="100"/>
      <x:c r="F2" s="100"/>
      <x:c r="G2" s="100"/>
      <x:c r="H2" s="100"/>
      <x:c r="I2" s="100"/>
      <x:c r="J2" s="100"/>
      <x:c r="K2" s="100"/>
    </x:row>
    <x:row r="3">
      <x:c r="A3" s="101"/>
      <x:c r="B3" s="101"/>
      <x:c r="C3" s="101"/>
      <x:c r="D3" s="101"/>
      <x:c r="E3" s="101"/>
      <x:c r="F3" s="101"/>
      <x:c r="G3" s="101"/>
      <x:c r="H3" s="101"/>
      <x:c r="I3" s="101"/>
      <x:c r="J3" s="101"/>
      <x:c r="K3" s="101"/>
    </x:row>
    <x:row r="4" ht="32" customHeight="1">
      <x:c r="A4" s="113" t="str">
        <x:v>ID</x:v>
      </x:c>
      <x:c r="B4" s="113" t="str">
        <x:v>Etapa</x:v>
      </x:c>
      <x:c r="C4" s="113" t="str">
        <x:v>Documento / registro</x:v>
      </x:c>
      <x:c r="D4" s="113" t="str">
        <x:v>Responsable</x:v>
      </x:c>
      <x:c r="E4" s="113" t="str">
        <x:v>Captura</x:v>
      </x:c>
      <x:c r="F4" s="113" t="str">
        <x:v>Revisa / valida</x:v>
      </x:c>
      <x:c r="G4" s="113" t="str">
        <x:v>Obligatorio</x:v>
      </x:c>
      <x:c r="H4" s="113" t="str">
        <x:v>Bloquea</x:v>
      </x:c>
      <x:c r="I4" s="113" t="str">
        <x:v>Estados</x:v>
      </x:c>
      <x:c r="J4" s="113" t="str">
        <x:v>Validaciones clave</x:v>
      </x:c>
      <x:c r="K4" s="113" t="str">
        <x:v>Fuente</x:v>
      </x:c>
    </x:row>
    <x:row r="5" ht="62" customHeight="1">
      <x:c r="A5" s="144" t="str">
        <x:v>DOC-M01</x:v>
      </x:c>
      <x:c r="B5" s="167" t="str">
        <x:v>Inicio</x:v>
      </x:c>
      <x:c r="C5" s="122" t="str">
        <x:v>Carta de presentación</x:v>
      </x:c>
      <x:c r="D5" s="122" t="str">
        <x:v>Estudiante / Sistema</x:v>
      </x:c>
      <x:c r="E5" s="122" t="str">
        <x:v>Formulario + PDF generado</x:v>
      </x:c>
      <x:c r="F5" s="122" t="str">
        <x:v>Secretaría</x:v>
      </x:c>
      <x:c r="G5" s="167" t="str">
        <x:v>Sí</x:v>
      </x:c>
      <x:c r="H5" s="167" t="str">
        <x:v>Registro de práctica</x:v>
      </x:c>
      <x:c r="I5" s="122" t="str">
        <x:v>Borrador &gt; Enviada &gt; Observada &gt; Reenviada &gt; Aprobada &gt; Anulada</x:v>
      </x:c>
      <x:c r="J5" s="122" t="str">
        <x:v>Campos de plantilla completos; versión vigente; aprobación registrada</x:v>
      </x:c>
      <x:c r="K5" s="123" t="str">
        <x:v>DEC-02; DOC-07</x:v>
      </x:c>
    </x:row>
    <x:row r="6" ht="62" customHeight="1">
      <x:c r="A6" s="144" t="str">
        <x:v>REG-M01</x:v>
      </x:c>
      <x:c r="B6" s="168" t="str">
        <x:v>Inicio</x:v>
      </x:c>
      <x:c r="C6" s="125" t="str">
        <x:v>Información de empresa</x:v>
      </x:c>
      <x:c r="D6" s="125" t="str">
        <x:v>Estudiante</x:v>
      </x:c>
      <x:c r="E6" s="125" t="str">
        <x:v>Registro digital reutilizable</x:v>
      </x:c>
      <x:c r="F6" s="125" t="str">
        <x:v>Coordinador PPP</x:v>
      </x:c>
      <x:c r="G6" s="168" t="str">
        <x:v>Sí</x:v>
      </x:c>
      <x:c r="H6" s="168" t="str">
        <x:v>Autorización</x:v>
      </x:c>
      <x:c r="I6" s="125" t="str">
        <x:v>Borrador &gt; En revisión &gt; Observado &gt; Validado</x:v>
      </x:c>
      <x:c r="J6" s="125" t="str">
        <x:v>RUC cuando aplique; razón social; representante; contacto; área</x:v>
      </x:c>
      <x:c r="K6" s="126" t="str">
        <x:v>DOC-04; DOC-06; DOC-10</x:v>
      </x:c>
    </x:row>
    <x:row r="7" ht="62" customHeight="1">
      <x:c r="A7" s="144" t="str">
        <x:v>DOC-M02</x:v>
      </x:c>
      <x:c r="B7" s="168" t="str">
        <x:v>Inicio</x:v>
      </x:c>
      <x:c r="C7" s="125" t="str">
        <x:v>Carta de aceptación</x:v>
      </x:c>
      <x:c r="D7" s="125" t="str">
        <x:v>Empresa / Estudiante</x:v>
      </x:c>
      <x:c r="E7" s="125" t="str">
        <x:v>PDF cargado</x:v>
      </x:c>
      <x:c r="F7" s="125" t="str">
        <x:v>Coordinador PPP</x:v>
      </x:c>
      <x:c r="G7" s="168" t="str">
        <x:v>Sí</x:v>
      </x:c>
      <x:c r="H7" s="168" t="str">
        <x:v>Autorización</x:v>
      </x:c>
      <x:c r="I7" s="125" t="str">
        <x:v>Pendiente &gt; En revisión &gt; Observado &gt; Aprobado &gt; Anulado</x:v>
      </x:c>
      <x:c r="J7" s="125" t="str">
        <x:v>Empresa, estudiante, periodo/área, firma o evidencia institucional</x:v>
      </x:c>
      <x:c r="K7" s="126" t="str">
        <x:v>DOC-01; DOC-10</x:v>
      </x:c>
    </x:row>
    <x:row r="8" ht="62" customHeight="1">
      <x:c r="A8" s="144" t="str">
        <x:v>DOC-M03</x:v>
      </x:c>
      <x:c r="B8" s="168" t="str">
        <x:v>Inicio</x:v>
      </x:c>
      <x:c r="C8" s="125" t="str">
        <x:v>Convenio de PPP</x:v>
      </x:c>
      <x:c r="D8" s="125" t="str">
        <x:v>Empresa / Estudiante / Universidad</x:v>
      </x:c>
      <x:c r="E8" s="125" t="str">
        <x:v>PDF firmado externamente</x:v>
      </x:c>
      <x:c r="F8" s="125" t="str">
        <x:v>Coordinador PPP</x:v>
      </x:c>
      <x:c r="G8" s="168" t="str">
        <x:v>Sí</x:v>
      </x:c>
      <x:c r="H8" s="168" t="str">
        <x:v>Autorización</x:v>
      </x:c>
      <x:c r="I8" s="125" t="str">
        <x:v>Pendiente &gt; En revisión &gt; Observado &gt; Aprobado &gt; Anulado</x:v>
      </x:c>
      <x:c r="J8" s="125" t="str">
        <x:v>Partes, fechas, horario, área, condiciones y firmas</x:v>
      </x:c>
      <x:c r="K8" s="126" t="str">
        <x:v>DOC-04; DOC-13</x:v>
      </x:c>
    </x:row>
    <x:row r="9" ht="62" customHeight="1">
      <x:c r="A9" s="144" t="str">
        <x:v>DOC-M04</x:v>
      </x:c>
      <x:c r="B9" s="168" t="str">
        <x:v>Inicio</x:v>
      </x:c>
      <x:c r="C9" s="125" t="str">
        <x:v>Plan de prácticas o trabajo</x:v>
      </x:c>
      <x:c r="D9" s="125" t="str">
        <x:v>Empresa / Estudiante</x:v>
      </x:c>
      <x:c r="E9" s="125" t="str">
        <x:v>PDF cargado</x:v>
      </x:c>
      <x:c r="F9" s="125" t="str">
        <x:v>Coordinador PPP</x:v>
      </x:c>
      <x:c r="G9" s="168" t="str">
        <x:v>Sí</x:v>
      </x:c>
      <x:c r="H9" s="168" t="str">
        <x:v>Autorización</x:v>
      </x:c>
      <x:c r="I9" s="125" t="str">
        <x:v>Pendiente &gt; En revisión &gt; Observado &gt; Aprobado &gt; Anulado</x:v>
      </x:c>
      <x:c r="J9" s="125" t="str">
        <x:v>Objetivos, funciones, actividades, horas previstas y cronograma</x:v>
      </x:c>
      <x:c r="K9" s="126" t="str">
        <x:v>DOC-01; DOC-14</x:v>
      </x:c>
    </x:row>
    <x:row r="10" ht="62" customHeight="1">
      <x:c r="A10" s="144" t="str">
        <x:v>REG-M02</x:v>
      </x:c>
      <x:c r="B10" s="168" t="str">
        <x:v>Seguimiento</x:v>
      </x:c>
      <x:c r="C10" s="125" t="str">
        <x:v>Bitácora de actividades y horas</x:v>
      </x:c>
      <x:c r="D10" s="125" t="str">
        <x:v>Estudiante</x:v>
      </x:c>
      <x:c r="E10" s="125" t="str">
        <x:v>Registro digital</x:v>
      </x:c>
      <x:c r="F10" s="125" t="str">
        <x:v>Coordinador PPP</x:v>
      </x:c>
      <x:c r="G10" s="168" t="str">
        <x:v>Sí</x:v>
      </x:c>
      <x:c r="H10" s="168" t="str">
        <x:v>Cálculo de horas</x:v>
      </x:c>
      <x:c r="I10" s="125" t="str">
        <x:v>Borrador &gt; Enviado &gt; Observado &gt; Validado</x:v>
      </x:c>
      <x:c r="J10" s="125" t="str">
        <x:v>Fecha, actividad, horas, práctica activa y evidencia opcional</x:v>
      </x:c>
      <x:c r="K10" s="126" t="str">
        <x:v>DOC-14; DOC-16</x:v>
      </x:c>
    </x:row>
    <x:row r="11" ht="62" customHeight="1">
      <x:c r="A11" s="144" t="str">
        <x:v>REG-M03</x:v>
      </x:c>
      <x:c r="B11" s="168" t="str">
        <x:v>Seguimiento</x:v>
      </x:c>
      <x:c r="C11" s="125" t="str">
        <x:v>Informe/registro de supervisión</x:v>
      </x:c>
      <x:c r="D11" s="125" t="str">
        <x:v>Docente supervisor</x:v>
      </x:c>
      <x:c r="E11" s="125" t="str">
        <x:v>Formulario digital + evidencia</x:v>
      </x:c>
      <x:c r="F11" s="125" t="str">
        <x:v>Coordinador PPP</x:v>
      </x:c>
      <x:c r="G11" s="168" t="str">
        <x:v>Según programación</x:v>
      </x:c>
      <x:c r="H11" s="168" t="str">
        <x:v>Cierre</x:v>
      </x:c>
      <x:c r="I11" s="125" t="str">
        <x:v>Programada &gt; Reprogramada &gt; Vencida &gt; Realizada &gt; Anulada</x:v>
      </x:c>
      <x:c r="J11" s="125" t="str">
        <x:v>Tipo, fecha, modalidad, acuerdos, observaciones y responsable</x:v>
      </x:c>
      <x:c r="K11" s="126" t="str">
        <x:v>DOC-16</x:v>
      </x:c>
    </x:row>
    <x:row r="12" ht="62" customHeight="1">
      <x:c r="A12" s="144" t="str">
        <x:v>EV-M01</x:v>
      </x:c>
      <x:c r="B12" s="168" t="str">
        <x:v>Seguimiento</x:v>
      </x:c>
      <x:c r="C12" s="125" t="str">
        <x:v>Evaluación del docente supervisor</x:v>
      </x:c>
      <x:c r="D12" s="125" t="str">
        <x:v>Docente supervisor</x:v>
      </x:c>
      <x:c r="E12" s="125" t="str">
        <x:v>Formulario digital versionado</x:v>
      </x:c>
      <x:c r="F12" s="125" t="str">
        <x:v>Sistema / Coordinador</x:v>
      </x:c>
      <x:c r="G12" s="168" t="str">
        <x:v>Según fases</x:v>
      </x:c>
      <x:c r="H12" s="168" t="str">
        <x:v>Cierre</x:v>
      </x:c>
      <x:c r="I12" s="125" t="str">
        <x:v>Pendiente &gt; En proceso &gt; Finalizada &gt; Reabierta</x:v>
      </x:c>
      <x:c r="J12" s="125" t="str">
        <x:v>Escala 1-5/NA; NA fuera del cálculo; versión de instrumento</x:v>
      </x:c>
      <x:c r="K12" s="126" t="str">
        <x:v>DOC-03; DOC-12</x:v>
      </x:c>
    </x:row>
    <x:row r="13" ht="62" customHeight="1">
      <x:c r="A13" s="144" t="str">
        <x:v>DOC-M05</x:v>
      </x:c>
      <x:c r="B13" s="168" t="str">
        <x:v>Cierre</x:v>
      </x:c>
      <x:c r="C13" s="125" t="str">
        <x:v>Evaluación de la empresa</x:v>
      </x:c>
      <x:c r="D13" s="125" t="str">
        <x:v>Empresa / Estudiante</x:v>
      </x:c>
      <x:c r="E13" s="125" t="str">
        <x:v>PDF firmado externamente</x:v>
      </x:c>
      <x:c r="F13" s="125" t="str">
        <x:v>Coordinador PPP</x:v>
      </x:c>
      <x:c r="G13" s="168" t="str">
        <x:v>Sí</x:v>
      </x:c>
      <x:c r="H13" s="168" t="str">
        <x:v>Cierre</x:v>
      </x:c>
      <x:c r="I13" s="125" t="str">
        <x:v>Pendiente &gt; En revisión &gt; Observado &gt; Aprobado &gt; Anulado</x:v>
      </x:c>
      <x:c r="J13" s="125" t="str">
        <x:v>Sí/No/NA, nota 0-20, horas, supervisor, firma/sello</x:v>
      </x:c>
      <x:c r="K13" s="126" t="str">
        <x:v>DOC-02; DOC-11</x:v>
      </x:c>
    </x:row>
    <x:row r="14" ht="62" customHeight="1">
      <x:c r="A14" s="144" t="str">
        <x:v>DOC-M06</x:v>
      </x:c>
      <x:c r="B14" s="168" t="str">
        <x:v>Cierre</x:v>
      </x:c>
      <x:c r="C14" s="125" t="str">
        <x:v>Informe final de PPP</x:v>
      </x:c>
      <x:c r="D14" s="125" t="str">
        <x:v>Estudiante</x:v>
      </x:c>
      <x:c r="E14" s="125" t="str">
        <x:v>PDF cargado</x:v>
      </x:c>
      <x:c r="F14" s="125" t="str">
        <x:v>Coordinador PPP</x:v>
      </x:c>
      <x:c r="G14" s="168" t="str">
        <x:v>Sí</x:v>
      </x:c>
      <x:c r="H14" s="168" t="str">
        <x:v>Cierre</x:v>
      </x:c>
      <x:c r="I14" s="125" t="str">
        <x:v>Pendiente &gt; En revisión &gt; Observado &gt; Aprobado &gt; Anulado</x:v>
      </x:c>
      <x:c r="J14" s="125" t="str">
        <x:v>Estructura institucional, práctica correcta y versión vigente</x:v>
      </x:c>
      <x:c r="K14" s="126" t="str">
        <x:v>DOC-05; DOC-15</x:v>
      </x:c>
    </x:row>
    <x:row r="15" ht="62" customHeight="1">
      <x:c r="A15" s="144" t="str">
        <x:v>DOC-M07</x:v>
      </x:c>
      <x:c r="B15" s="168" t="str">
        <x:v>Cierre</x:v>
      </x:c>
      <x:c r="C15" s="125" t="str">
        <x:v>Constancia o certificado de prácticas</x:v>
      </x:c>
      <x:c r="D15" s="125" t="str">
        <x:v>Empresa / Estudiante</x:v>
      </x:c>
      <x:c r="E15" s="125" t="str">
        <x:v>PDF firmado externamente</x:v>
      </x:c>
      <x:c r="F15" s="125" t="str">
        <x:v>Coordinador PPP</x:v>
      </x:c>
      <x:c r="G15" s="168" t="str">
        <x:v>Sí</x:v>
      </x:c>
      <x:c r="H15" s="168" t="str">
        <x:v>Cierre</x:v>
      </x:c>
      <x:c r="I15" s="125" t="str">
        <x:v>Pendiente &gt; En revisión &gt; Observado &gt; Aprobado &gt; Anulado</x:v>
      </x:c>
      <x:c r="J15" s="125" t="str">
        <x:v>Empresa, estudiante, fechas, funciones, horas y firma/sello</x:v>
      </x:c>
      <x:c r="K15" s="126" t="str">
        <x:v>DOC-01; DOC-09</x:v>
      </x:c>
    </x:row>
    <x:row r="16" ht="62" customHeight="1">
      <x:c r="A16" s="144" t="str">
        <x:v>DOC-M08</x:v>
      </x:c>
      <x:c r="B16" s="168" t="str">
        <x:v>Reconocimiento</x:v>
      </x:c>
      <x:c r="C16" s="125" t="str">
        <x:v>Documento o resolución individual indispensable</x:v>
      </x:c>
      <x:c r="D16" s="125" t="str">
        <x:v>Coordinador PPP</x:v>
      </x:c>
      <x:c r="E16" s="125" t="str">
        <x:v>Metadatos + PDF</x:v>
      </x:c>
      <x:c r="F16" s="125" t="str">
        <x:v>Coordinador PPP</x:v>
      </x:c>
      <x:c r="G16" s="168" t="str">
        <x:v>Condicional</x:v>
      </x:c>
      <x:c r="H16" s="168" t="str">
        <x:v>Estado Reconocido</x:v>
      </x:c>
      <x:c r="I16" s="125" t="str">
        <x:v>Pendiente &gt; Registrado &gt; Anulado</x:v>
      </x:c>
      <x:c r="J16" s="125" t="str">
        <x:v>Número, fecha, estudiante con requisito Cumplido y archivo</x:v>
      </x:c>
      <x:c r="K16" s="126" t="str">
        <x:v>DOC-08; DEC-03</x:v>
      </x:c>
    </x:row>
  </x:sheetData>
  <x:mergeCells>
    <x:mergeCell ref="A1:K1"/>
    <x:mergeCell ref="A2:K2"/>
  </x:mergeCells>
  <x:conditionalFormatting sqref="G5:G16">
    <x:cfRule type="containsText" dxfId="21" priority="1" operator="containsText" text="Sí"/>
    <x:cfRule type="containsText" dxfId="22" priority="2" operator="containsText" text="Condicional"/>
  </x:conditionalFormatting>
  <x:pageMargins left="0.7" right="0.7" top="0.75" bottom="0.75" header="0.3" footer="0.3"/>
  <x:tableParts count="1">
    <x:tablePart xmlns:r="http://schemas.openxmlformats.org/officeDocument/2006/relationships" r:id="R73323a6f45244b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23" hidden="0" customWidth="1"/>
    <x:col min="3" max="3" width="23" hidden="0" customWidth="1"/>
    <x:col min="4" max="4" width="23" hidden="0" customWidth="1"/>
    <x:col min="5" max="5" width="23" hidden="0" customWidth="1"/>
    <x:col min="6" max="6" width="23" hidden="0" customWidth="1"/>
  </x:cols>
  <x:sheetData>
    <x:row r="1" ht="34" customHeight="1">
      <x:c r="A1" s="99" t="str">
        <x:v>MATRIZ DE ROLES Y PERMISOS</x:v>
      </x:c>
      <x:c r="B1" s="99"/>
      <x:c r="C1" s="99"/>
      <x:c r="D1" s="99"/>
      <x:c r="E1" s="99"/>
      <x:c r="F1" s="99"/>
    </x:row>
    <x:row r="2" ht="30" customHeight="1">
      <x:c r="A2" s="100" t="str">
        <x:v>El ámbito es parte del permiso: campus para Secretaría/Coordinador, asignación para docente, propiedad para estudiante y tres campus en solo lectura para Auditor.</x:v>
      </x:c>
      <x:c r="B2" s="100"/>
      <x:c r="C2" s="100"/>
      <x:c r="D2" s="100"/>
      <x:c r="E2" s="100"/>
      <x:c r="F2" s="100"/>
    </x:row>
    <x:row r="3">
      <x:c r="A3" s="101"/>
      <x:c r="B3" s="101"/>
      <x:c r="C3" s="101"/>
      <x:c r="D3" s="101"/>
      <x:c r="E3" s="101"/>
      <x:c r="F3" s="101"/>
    </x:row>
    <x:row r="4" ht="32" customHeight="1">
      <x:c r="A4" s="113" t="str">
        <x:v>Acción</x:v>
      </x:c>
      <x:c r="B4" s="113" t="str">
        <x:v>Estudiante</x:v>
      </x:c>
      <x:c r="C4" s="113" t="str">
        <x:v>Secretaría</x:v>
      </x:c>
      <x:c r="D4" s="113" t="str">
        <x:v>Docente supervisor</x:v>
      </x:c>
      <x:c r="E4" s="113" t="str">
        <x:v>Coordinador PPP</x:v>
      </x:c>
      <x:c r="F4" s="113" t="str">
        <x:v>Auditor institucional</x:v>
      </x:c>
    </x:row>
    <x:row r="5" ht="38" customHeight="1">
      <x:c r="A5" s="170" t="str">
        <x:v>Autenticarse y completar perfil</x:v>
      </x:c>
      <x:c r="B5" s="146" t="str">
        <x:v>Propio</x:v>
      </x:c>
      <x:c r="C5" s="146" t="str">
        <x:v>Propio</x:v>
      </x:c>
      <x:c r="D5" s="146" t="str">
        <x:v>Propio</x:v>
      </x:c>
      <x:c r="E5" s="146" t="str">
        <x:v>Propio</x:v>
      </x:c>
      <x:c r="F5" s="160" t="str">
        <x:v>Propio</x:v>
      </x:c>
    </x:row>
    <x:row r="6" ht="38" customHeight="1">
      <x:c r="A6" s="170" t="str">
        <x:v>Solicitar/corregir carta</x:v>
      </x:c>
      <x:c r="B6" s="148" t="str">
        <x:v>Propio</x:v>
      </x:c>
      <x:c r="C6" s="148" t="str">
        <x:v>No</x:v>
      </x:c>
      <x:c r="D6" s="148" t="str">
        <x:v>No</x:v>
      </x:c>
      <x:c r="E6" s="148" t="str">
        <x:v>No</x:v>
      </x:c>
      <x:c r="F6" s="162" t="str">
        <x:v>Lectura</x:v>
      </x:c>
    </x:row>
    <x:row r="7" ht="38" customHeight="1">
      <x:c r="A7" s="170" t="str">
        <x:v>Revisar carta</x:v>
      </x:c>
      <x:c r="B7" s="148" t="str">
        <x:v>Lectura</x:v>
      </x:c>
      <x:c r="C7" s="148" t="str">
        <x:v>Campus</x:v>
      </x:c>
      <x:c r="D7" s="148" t="str">
        <x:v>No</x:v>
      </x:c>
      <x:c r="E7" s="148" t="str">
        <x:v>Lectura</x:v>
      </x:c>
      <x:c r="F7" s="162" t="str">
        <x:v>Lectura</x:v>
      </x:c>
    </x:row>
    <x:row r="8" ht="38" customHeight="1">
      <x:c r="A8" s="170" t="str">
        <x:v>Registrar empresa y práctica</x:v>
      </x:c>
      <x:c r="B8" s="148" t="str">
        <x:v>Propio</x:v>
      </x:c>
      <x:c r="C8" s="148" t="str">
        <x:v>No</x:v>
      </x:c>
      <x:c r="D8" s="148" t="str">
        <x:v>No</x:v>
      </x:c>
      <x:c r="E8" s="148" t="str">
        <x:v>Campus</x:v>
      </x:c>
      <x:c r="F8" s="162" t="str">
        <x:v>Lectura</x:v>
      </x:c>
    </x:row>
    <x:row r="9" ht="38" customHeight="1">
      <x:c r="A9" s="170" t="str">
        <x:v>Cargar documentos</x:v>
      </x:c>
      <x:c r="B9" s="148" t="str">
        <x:v>Propio</x:v>
      </x:c>
      <x:c r="C9" s="148" t="str">
        <x:v>No</x:v>
      </x:c>
      <x:c r="D9" s="148" t="str">
        <x:v>Evidencia propia</x:v>
      </x:c>
      <x:c r="E9" s="148" t="str">
        <x:v>Campus</x:v>
      </x:c>
      <x:c r="F9" s="162" t="str">
        <x:v>Lectura</x:v>
      </x:c>
    </x:row>
    <x:row r="10" ht="38" customHeight="1">
      <x:c r="A10" s="170" t="str">
        <x:v>Aprobar/observar documentos</x:v>
      </x:c>
      <x:c r="B10" s="148" t="str">
        <x:v>No</x:v>
      </x:c>
      <x:c r="C10" s="148" t="str">
        <x:v>Solo carta</x:v>
      </x:c>
      <x:c r="D10" s="148" t="str">
        <x:v>No</x:v>
      </x:c>
      <x:c r="E10" s="148" t="str">
        <x:v>Campus</x:v>
      </x:c>
      <x:c r="F10" s="162" t="str">
        <x:v>Lectura</x:v>
      </x:c>
    </x:row>
    <x:row r="11" ht="38" customHeight="1">
      <x:c r="A11" s="170" t="str">
        <x:v>Asignar docente</x:v>
      </x:c>
      <x:c r="B11" s="148" t="str">
        <x:v>No</x:v>
      </x:c>
      <x:c r="C11" s="148" t="str">
        <x:v>No</x:v>
      </x:c>
      <x:c r="D11" s="148" t="str">
        <x:v>No</x:v>
      </x:c>
      <x:c r="E11" s="148" t="str">
        <x:v>Campus</x:v>
      </x:c>
      <x:c r="F11" s="162" t="str">
        <x:v>Lectura</x:v>
      </x:c>
    </x:row>
    <x:row r="12" ht="38" customHeight="1">
      <x:c r="A12" s="170" t="str">
        <x:v>Registrar actividades/horas</x:v>
      </x:c>
      <x:c r="B12" s="148" t="str">
        <x:v>Propio</x:v>
      </x:c>
      <x:c r="C12" s="148" t="str">
        <x:v>No</x:v>
      </x:c>
      <x:c r="D12" s="148" t="str">
        <x:v>Lectura</x:v>
      </x:c>
      <x:c r="E12" s="148" t="str">
        <x:v>Lectura</x:v>
      </x:c>
      <x:c r="F12" s="162" t="str">
        <x:v>Lectura</x:v>
      </x:c>
    </x:row>
    <x:row r="13" ht="38" customHeight="1">
      <x:c r="A13" s="170" t="str">
        <x:v>Validar horas</x:v>
      </x:c>
      <x:c r="B13" s="148" t="str">
        <x:v>No</x:v>
      </x:c>
      <x:c r="C13" s="148" t="str">
        <x:v>No</x:v>
      </x:c>
      <x:c r="D13" s="148" t="str">
        <x:v>Lectura</x:v>
      </x:c>
      <x:c r="E13" s="148" t="str">
        <x:v>Campus</x:v>
      </x:c>
      <x:c r="F13" s="162" t="str">
        <x:v>Lectura</x:v>
      </x:c>
    </x:row>
    <x:row r="14" ht="38" customHeight="1">
      <x:c r="A14" s="170" t="str">
        <x:v>Programar supervisiones</x:v>
      </x:c>
      <x:c r="B14" s="148" t="str">
        <x:v>Lectura</x:v>
      </x:c>
      <x:c r="C14" s="148" t="str">
        <x:v>No</x:v>
      </x:c>
      <x:c r="D14" s="148" t="str">
        <x:v>Lectura</x:v>
      </x:c>
      <x:c r="E14" s="148" t="str">
        <x:v>Campus</x:v>
      </x:c>
      <x:c r="F14" s="162" t="str">
        <x:v>Lectura</x:v>
      </x:c>
    </x:row>
    <x:row r="15" ht="38" customHeight="1">
      <x:c r="A15" s="170" t="str">
        <x:v>Registrar supervisión</x:v>
      </x:c>
      <x:c r="B15" s="148" t="str">
        <x:v>Lectura</x:v>
      </x:c>
      <x:c r="C15" s="148" t="str">
        <x:v>No</x:v>
      </x:c>
      <x:c r="D15" s="148" t="str">
        <x:v>Asignados</x:v>
      </x:c>
      <x:c r="E15" s="148" t="str">
        <x:v>Campus</x:v>
      </x:c>
      <x:c r="F15" s="162" t="str">
        <x:v>Lectura</x:v>
      </x:c>
    </x:row>
    <x:row r="16" ht="38" customHeight="1">
      <x:c r="A16" s="170" t="str">
        <x:v>Evaluación docente</x:v>
      </x:c>
      <x:c r="B16" s="148" t="str">
        <x:v>Lectura</x:v>
      </x:c>
      <x:c r="C16" s="148" t="str">
        <x:v>No</x:v>
      </x:c>
      <x:c r="D16" s="148" t="str">
        <x:v>Asignados</x:v>
      </x:c>
      <x:c r="E16" s="148" t="str">
        <x:v>Campus</x:v>
      </x:c>
      <x:c r="F16" s="162" t="str">
        <x:v>Lectura</x:v>
      </x:c>
    </x:row>
    <x:row r="17" ht="38" customHeight="1">
      <x:c r="A17" s="170" t="str">
        <x:v>Evaluación empresarial</x:v>
      </x:c>
      <x:c r="B17" s="148" t="str">
        <x:v>Carga propia</x:v>
      </x:c>
      <x:c r="C17" s="148" t="str">
        <x:v>No</x:v>
      </x:c>
      <x:c r="D17" s="148" t="str">
        <x:v>Lectura</x:v>
      </x:c>
      <x:c r="E17" s="148" t="str">
        <x:v>Campus</x:v>
      </x:c>
      <x:c r="F17" s="162" t="str">
        <x:v>Lectura</x:v>
      </x:c>
    </x:row>
    <x:row r="18" ht="38" customHeight="1">
      <x:c r="A18" s="170" t="str">
        <x:v>Cerrar práctica/reconocimiento</x:v>
      </x:c>
      <x:c r="B18" s="148" t="str">
        <x:v>Lectura</x:v>
      </x:c>
      <x:c r="C18" s="148" t="str">
        <x:v>No</x:v>
      </x:c>
      <x:c r="D18" s="148" t="str">
        <x:v>Lectura</x:v>
      </x:c>
      <x:c r="E18" s="148" t="str">
        <x:v>Campus</x:v>
      </x:c>
      <x:c r="F18" s="162" t="str">
        <x:v>Lectura</x:v>
      </x:c>
    </x:row>
    <x:row r="19" ht="38" customHeight="1">
      <x:c r="A19" s="170" t="str">
        <x:v>Dashboard operativo</x:v>
      </x:c>
      <x:c r="B19" s="148" t="str">
        <x:v>Propio</x:v>
      </x:c>
      <x:c r="C19" s="148" t="str">
        <x:v>Cartas campus</x:v>
      </x:c>
      <x:c r="D19" s="148" t="str">
        <x:v>Asignados</x:v>
      </x:c>
      <x:c r="E19" s="148" t="str">
        <x:v>Campus</x:v>
      </x:c>
      <x:c r="F19" s="162" t="str">
        <x:v>Tres campus</x:v>
      </x:c>
    </x:row>
    <x:row r="20" ht="38" customHeight="1">
      <x:c r="A20" s="170" t="str">
        <x:v>Reportes</x:v>
      </x:c>
      <x:c r="B20" s="148" t="str">
        <x:v>Propio</x:v>
      </x:c>
      <x:c r="C20" s="148" t="str">
        <x:v>No</x:v>
      </x:c>
      <x:c r="D20" s="148" t="str">
        <x:v>Asignados</x:v>
      </x:c>
      <x:c r="E20" s="148" t="str">
        <x:v>Campus</x:v>
      </x:c>
      <x:c r="F20" s="162" t="str">
        <x:v>Consulta</x:v>
      </x:c>
    </x:row>
    <x:row r="21" ht="38" customHeight="1">
      <x:c r="A21" s="170" t="str">
        <x:v>Bitácora de auditoría</x:v>
      </x:c>
      <x:c r="B21" s="148" t="str">
        <x:v>No</x:v>
      </x:c>
      <x:c r="C21" s="148" t="str">
        <x:v>No</x:v>
      </x:c>
      <x:c r="D21" s="148" t="str">
        <x:v>No</x:v>
      </x:c>
      <x:c r="E21" s="148" t="str">
        <x:v>Campus</x:v>
      </x:c>
      <x:c r="F21" s="162" t="str">
        <x:v>Tres campus</x:v>
      </x:c>
    </x:row>
    <x:row r="22" ht="38" customHeight="1">
      <x:c r="A22" s="170" t="str">
        <x:v>Editar información</x:v>
      </x:c>
      <x:c r="B22" s="148" t="str">
        <x:v>Propio según estado</x:v>
      </x:c>
      <x:c r="C22" s="148" t="str">
        <x:v>Carta según estado</x:v>
      </x:c>
      <x:c r="D22" s="148" t="str">
        <x:v>Supervisión/evaluación propia</x:v>
      </x:c>
      <x:c r="E22" s="148" t="str">
        <x:v>Campus según rol</x:v>
      </x:c>
      <x:c r="F22" s="162" t="str">
        <x:v>Nunca</x:v>
      </x:c>
    </x:row>
  </x:sheetData>
  <x:mergeCells>
    <x:mergeCell ref="A1:F1"/>
    <x:mergeCell ref="A2:F2"/>
  </x:mergeCells>
  <x:conditionalFormatting sqref="B5:F22">
    <x:cfRule type="containsText" dxfId="23" priority="1" operator="containsText" text="No"/>
    <x:cfRule type="containsText" dxfId="24" priority="2" operator="containsText" text="Nunca"/>
    <x:cfRule type="containsText" dxfId="25" priority="3" operator="containsText" text="Campus"/>
    <x:cfRule type="containsText" dxfId="26" priority="4" operator="containsText" text="Asignados"/>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58" hidden="0" customWidth="1"/>
    <x:col min="3" max="3" width="76" hidden="0" customWidth="1"/>
    <x:col min="4" max="4" width="30" hidden="0" customWidth="1"/>
    <x:col min="5" max="5" width="45" hidden="0" customWidth="1"/>
  </x:cols>
  <x:sheetData>
    <x:row r="1" ht="34" customHeight="1">
      <x:c r="A1" s="99" t="str">
        <x:v>REGLAS DE NEGOCIO Y CICLOS DE ESTADO</x:v>
      </x:c>
      <x:c r="B1" s="99"/>
      <x:c r="C1" s="99"/>
      <x:c r="D1" s="99"/>
      <x:c r="E1" s="99"/>
    </x:row>
    <x:row r="2" ht="30" customHeight="1">
      <x:c r="A2" s="100" t="str">
        <x:v>Los estados se calculan por elemento; no se reduce todo el proceso a No inicia / En proceso / Terminado.</x:v>
      </x:c>
      <x:c r="B2" s="100"/>
      <x:c r="C2" s="100"/>
      <x:c r="D2" s="100"/>
      <x:c r="E2" s="100"/>
    </x:row>
    <x:row r="3">
      <x:c r="A3" s="101"/>
      <x:c r="B3" s="101"/>
      <x:c r="C3" s="101"/>
      <x:c r="D3" s="101"/>
      <x:c r="E3" s="101"/>
    </x:row>
    <x:row r="4" ht="26" customHeight="1">
      <x:c r="A4" s="112" t="str">
        <x:v>Ciclos de estado</x:v>
      </x:c>
      <x:c r="B4" s="112"/>
      <x:c r="C4" s="112"/>
      <x:c r="D4" s="112"/>
      <x:c r="E4" s="112"/>
    </x:row>
    <x:row r="5" ht="32" customHeight="1">
      <x:c r="A5" s="113" t="str">
        <x:v>Elemento</x:v>
      </x:c>
      <x:c r="B5" s="113" t="str">
        <x:v>Estados</x:v>
      </x:c>
      <x:c r="C5" s="113" t="str">
        <x:v>Transiciones permitidas</x:v>
      </x:c>
      <x:c r="D5" s="113" t="str">
        <x:v>Responsable</x:v>
      </x:c>
      <x:c r="E5" s="113" t="str">
        <x:v>Observación</x:v>
      </x:c>
    </x:row>
    <x:row r="6" ht="72" customHeight="1">
      <x:c r="A6" s="170" t="str">
        <x:v>Solicitud de carta</x:v>
      </x:c>
      <x:c r="B6" s="122" t="str">
        <x:v>Borrador; Enviada; Observada; Reenviada; Aprobada; Anulada</x:v>
      </x:c>
      <x:c r="C6" s="122" t="str">
        <x:v>Borrador&gt;Enviada; Enviada&gt;Observada/Aprobada/Anulada; Observada&gt;Reenviada; Reenviada&gt;Observada/Aprobada/Anulada</x:v>
      </x:c>
      <x:c r="D6" s="122" t="str">
        <x:v>Estudiante / Secretaría</x:v>
      </x:c>
      <x:c r="E6" s="123" t="str">
        <x:v>Aprobada genera PDF final y bloquea edición</x:v>
      </x:c>
    </x:row>
    <x:row r="7" ht="72" customHeight="1">
      <x:c r="A7" s="170" t="str">
        <x:v>Documento</x:v>
      </x:c>
      <x:c r="B7" s="125" t="str">
        <x:v>Pendiente; En revisión; Observado; Aprobado; Anulado</x:v>
      </x:c>
      <x:c r="C7" s="125" t="str">
        <x:v>Pendiente&gt;En revisión; En revisión&gt;Observado/Aprobado/Anulado; Observado&gt;En revisión</x:v>
      </x:c>
      <x:c r="D7" s="125" t="str">
        <x:v>Estudiante / Coordinador</x:v>
      </x:c>
      <x:c r="E7" s="126" t="str">
        <x:v>Cada reenvío crea versión</x:v>
      </x:c>
    </x:row>
    <x:row r="8" ht="72" customHeight="1">
      <x:c r="A8" s="170" t="str">
        <x:v>Horas</x:v>
      </x:c>
      <x:c r="B8" s="125" t="str">
        <x:v>Borrador; Enviado; Observado; Validado</x:v>
      </x:c>
      <x:c r="C8" s="125" t="str">
        <x:v>Borrador&gt;Enviado; Enviado&gt;Observado/Validado; Observado&gt;Enviado</x:v>
      </x:c>
      <x:c r="D8" s="125" t="str">
        <x:v>Estudiante / Coordinador</x:v>
      </x:c>
      <x:c r="E8" s="126" t="str">
        <x:v>Solo Validado suma al progreso</x:v>
      </x:c>
    </x:row>
    <x:row r="9" ht="72" customHeight="1">
      <x:c r="A9" s="170" t="str">
        <x:v>Supervisión</x:v>
      </x:c>
      <x:c r="B9" s="125" t="str">
        <x:v>Programada; Reprogramada; Vencida; Realizada; Anulada</x:v>
      </x:c>
      <x:c r="C9" s="125" t="str">
        <x:v>Programada&gt;Reprogramada/Realizada/Anulada/Vencida; Vencida&gt;Reprogramada/Realizada</x:v>
      </x:c>
      <x:c r="D9" s="125" t="str">
        <x:v>Coordinador / Docente</x:v>
      </x:c>
      <x:c r="E9" s="126" t="str">
        <x:v>Reprogramación conserva fecha anterior</x:v>
      </x:c>
    </x:row>
    <x:row r="10" ht="72" customHeight="1">
      <x:c r="A10" s="170" t="str">
        <x:v>Evaluación docente</x:v>
      </x:c>
      <x:c r="B10" s="125" t="str">
        <x:v>Pendiente; En proceso; Finalizada; Reabierta</x:v>
      </x:c>
      <x:c r="C10" s="125" t="str">
        <x:v>Pendiente&gt;En proceso; En proceso&gt;Finalizada; Finalizada&gt;Reabierta; Reabierta&gt;Finalizada</x:v>
      </x:c>
      <x:c r="D10" s="125" t="str">
        <x:v>Docente / Coordinador</x:v>
      </x:c>
      <x:c r="E10" s="126" t="str">
        <x:v>Reabrir exige motivo</x:v>
      </x:c>
    </x:row>
    <x:row r="11" ht="72" customHeight="1">
      <x:c r="A11" s="170" t="str">
        <x:v>Práctica</x:v>
      </x:c>
      <x:c r="B11" s="125" t="str">
        <x:v>En preparación; Autorizada; Activa; Suspendida; En cierre; Finalizada; Cancelada</x:v>
      </x:c>
      <x:c r="C11" s="125" t="str">
        <x:v>Preparación&gt;Autorizada/Cancelada; Autorizada&gt;Activa/Cancelada; Activa&gt;Suspendida/En cierre/Cancelada; Suspendida&gt;Activa/Cancelada; En cierre&gt;Finalizada/Activa</x:v>
      </x:c>
      <x:c r="D11" s="125" t="str">
        <x:v>Coordinador</x:v>
      </x:c>
      <x:c r="E11" s="126" t="str">
        <x:v>No confundir Finalizada con requisito académico total</x:v>
      </x:c>
    </x:row>
    <x:row r="12" ht="72" customHeight="1">
      <x:c r="A12" s="170" t="str">
        <x:v>Requisito PPP</x:v>
      </x:c>
      <x:c r="B12" s="125" t="str">
        <x:v>Pendiente; Cumplido; Reconocido</x:v>
      </x:c>
      <x:c r="C12" s="125" t="str">
        <x:v>Derivado de horas finalizadas; Cumplido&gt;Reconocido al registrar documento final</x:v>
      </x:c>
      <x:c r="D12" s="125" t="str">
        <x:v>Sistema / Coordinador</x:v>
      </x:c>
      <x:c r="E12" s="126" t="str">
        <x:v>No es un texto editable</x:v>
      </x:c>
    </x:row>
    <x:row r="13">
      <x:c r="A13" s="101"/>
      <x:c r="B13" s="101"/>
      <x:c r="C13" s="101"/>
      <x:c r="D13" s="101"/>
      <x:c r="E13" s="101"/>
    </x:row>
    <x:row r="14" ht="26" customHeight="1">
      <x:c r="A14" s="112" t="str">
        <x:v>Reglas de negocio consolidadas</x:v>
      </x:c>
      <x:c r="B14" s="112"/>
      <x:c r="C14" s="112"/>
      <x:c r="D14" s="112"/>
      <x:c r="E14" s="112"/>
    </x:row>
    <x:row r="15" ht="32" customHeight="1">
      <x:c r="A15" s="113" t="str">
        <x:v>ID</x:v>
      </x:c>
      <x:c r="B15" s="113" t="str">
        <x:v>Regla</x:v>
      </x:c>
      <x:c r="C15" s="101"/>
      <x:c r="D15" s="101"/>
      <x:c r="E15" s="101"/>
    </x:row>
    <x:row r="16" ht="34" customHeight="1">
      <x:c r="A16" s="114" t="str">
        <x:v>RN-01</x:v>
      </x:c>
      <x:c r="B16" s="128" t="str">
        <x:v>El proceso operativo del MVP comienza con la solicitud de carta de presentación.</x:v>
      </x:c>
      <x:c r="C16" s="101"/>
      <x:c r="D16" s="101"/>
      <x:c r="E16" s="101"/>
    </x:row>
    <x:row r="17" ht="34" customHeight="1">
      <x:c r="A17" s="114" t="str">
        <x:v>RN-02</x:v>
      </x:c>
      <x:c r="B17" s="130" t="str">
        <x:v>Secretaría tiene cuenta y administra exclusivamente la revisión de cartas de su campus.</x:v>
      </x:c>
      <x:c r="C17" s="101"/>
      <x:c r="D17" s="101"/>
      <x:c r="E17" s="101"/>
    </x:row>
    <x:row r="18" ht="34" customHeight="1">
      <x:c r="A18" s="114" t="str">
        <x:v>RN-03</x:v>
      </x:c>
      <x:c r="B18" s="130" t="str">
        <x:v>La carta se genera desde plantilla; el estudiante corrige datos observados y no vuelve a subir la carta.</x:v>
      </x:c>
      <x:c r="C18" s="101"/>
      <x:c r="D18" s="101"/>
      <x:c r="E18" s="101"/>
    </x:row>
    <x:row r="19" ht="34" customHeight="1">
      <x:c r="A19" s="114" t="str">
        <x:v>RN-04</x:v>
      </x:c>
      <x:c r="B19" s="130" t="str">
        <x:v>Cada práctica tiene expediente independiente; un estudiante puede acumular horas de varias prácticas.</x:v>
      </x:c>
      <x:c r="C19" s="101"/>
      <x:c r="D19" s="101"/>
      <x:c r="E19" s="101"/>
    </x:row>
    <x:row r="20" ht="34" customHeight="1">
      <x:c r="A20" s="114" t="str">
        <x:v>RN-05</x:v>
      </x:c>
      <x:c r="B20" s="130" t="str">
        <x:v>La empresa no tiene cuenta; sus documentos firmados son cargados por el estudiante y revisados por el coordinador.</x:v>
      </x:c>
      <x:c r="C20" s="101"/>
      <x:c r="D20" s="101"/>
      <x:c r="E20" s="101"/>
    </x:row>
    <x:row r="21" ht="34" customHeight="1">
      <x:c r="A21" s="114" t="str">
        <x:v>RN-06</x:v>
      </x:c>
      <x:c r="B21" s="130" t="str">
        <x:v>Solo las horas Validadas suman al avance; el cumplimiento académico usa horas de prácticas Finalizadas.</x:v>
      </x:c>
      <x:c r="C21" s="101"/>
      <x:c r="D21" s="101"/>
      <x:c r="E21" s="101"/>
    </x:row>
    <x:row r="22" ht="34" customHeight="1">
      <x:c r="A22" s="114" t="str">
        <x:v>RN-07</x:v>
      </x:c>
      <x:c r="B22" s="130" t="str">
        <x:v>La meta inicial de PPP es 700 horas y queda configurable. Las 50 horas de proyección social no se gestionan en el MVP.</x:v>
      </x:c>
      <x:c r="C22" s="101"/>
      <x:c r="D22" s="101"/>
      <x:c r="E22" s="101"/>
    </x:row>
    <x:row r="23" ht="34" customHeight="1">
      <x:c r="A23" s="114" t="str">
        <x:v>RN-08</x:v>
      </x:c>
      <x:c r="B23" s="130" t="str">
        <x:v>La validación automática es técnica; firmas, sellos y coherencia del contenido requieren revisión humana.</x:v>
      </x:c>
      <x:c r="C23" s="101"/>
      <x:c r="D23" s="101"/>
      <x:c r="E23" s="101"/>
    </x:row>
    <x:row r="24" ht="34" customHeight="1">
      <x:c r="A24" s="114" t="str">
        <x:v>RN-09</x:v>
      </x:c>
      <x:c r="B24" s="130" t="str">
        <x:v>Todo documento observado conserva comentarios y versiones anteriores; los aprobados no se sobrescriben.</x:v>
      </x:c>
      <x:c r="C24" s="101"/>
      <x:c r="D24" s="101"/>
      <x:c r="E24" s="101"/>
    </x:row>
    <x:row r="25" ht="34" customHeight="1">
      <x:c r="A25" s="114" t="str">
        <x:v>RN-10</x:v>
      </x:c>
      <x:c r="B25" s="130" t="str">
        <x:v>Secretaría y coordinador operan por campus; docente por asignación; auditor consulta los tres campus sin editar.</x:v>
      </x:c>
      <x:c r="C25" s="101"/>
      <x:c r="D25" s="101"/>
      <x:c r="E25" s="101"/>
    </x:row>
    <x:row r="26" ht="34" customHeight="1">
      <x:c r="A26" s="114" t="str">
        <x:v>RN-11</x:v>
      </x:c>
      <x:c r="B26" s="130" t="str">
        <x:v>El sistema registra únicamente el documento individual final indispensable; no gestiona Consejo, sesiones, actas ni agendas.</x:v>
      </x:c>
      <x:c r="C26" s="101"/>
      <x:c r="D26" s="101"/>
      <x:c r="E26" s="101"/>
    </x:row>
    <x:row r="27" ht="34" customHeight="1">
      <x:c r="A27" s="114" t="str">
        <x:v>RN-12</x:v>
      </x:c>
      <x:c r="B27" s="130" t="str">
        <x:v>No se incluyen aplicación móvil nativa, WhatsApp automatizado, biometría, geolocalización, Lamb Academic ni validación del curso por API.</x:v>
      </x:c>
      <x:c r="C27" s="101"/>
      <x:c r="D27" s="101"/>
      <x:c r="E27" s="101"/>
    </x:row>
    <x:row r="28" ht="34" customHeight="1">
      <x:c r="A28" s="114" t="str">
        <x:v>RN-13</x:v>
      </x:c>
      <x:c r="B28" s="130" t="str">
        <x:v>La primera implementación abarca Ingeniería de Sistemas en tres campus; otras escuelas quedan preparadas, no implementadas.</x:v>
      </x:c>
      <x:c r="C28" s="101"/>
      <x:c r="D28" s="101"/>
      <x:c r="E28" s="101"/>
    </x:row>
    <x:row r="29" ht="34" customHeight="1">
      <x:c r="A29" s="114" t="str">
        <x:v>RN-14</x:v>
      </x:c>
      <x:c r="B29" s="130" t="str">
        <x:v>La infraestructura, dominio y proveedor de identidad se decidirán durante la implementación sin cambiar el alcance funcional.</x:v>
      </x:c>
      <x:c r="C29" s="101"/>
      <x:c r="D29" s="101"/>
      <x:c r="E29" s="101"/>
    </x:row>
    <x:row r="30" ht="34" customHeight="1">
      <x:c r="A30" s="114" t="str">
        <x:v>RN-15</x:v>
      </x:c>
      <x:c r="B30" s="130" t="str">
        <x:v>La migración inicial comprende solo prácticas activas; los históricos cerrados no se cargan en la primera versión.</x:v>
      </x:c>
      <x:c r="C30" s="101"/>
      <x:c r="D30" s="101"/>
      <x:c r="E30" s="101"/>
    </x:row>
  </x:sheetData>
  <x:mergeCells>
    <x:mergeCell ref="A1:E1"/>
    <x:mergeCell ref="A2:E2"/>
    <x:mergeCell ref="A4:E4"/>
    <x:mergeCell ref="A14:E1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30" hidden="0" customWidth="1"/>
    <x:col min="3" max="3" width="75" hidden="0" customWidth="1"/>
    <x:col min="4" max="4" width="72" hidden="0" customWidth="1"/>
    <x:col min="5" max="5" width="13" hidden="0" customWidth="1"/>
    <x:col min="6" max="6" width="13" hidden="0" customWidth="1"/>
    <x:col min="7" max="7" width="28" hidden="0" customWidth="1"/>
  </x:cols>
  <x:sheetData>
    <x:row r="1" ht="34" customHeight="1">
      <x:c r="A1" s="99" t="str">
        <x:v>REQUISITOS NO FUNCIONALES DEL MVP</x:v>
      </x:c>
      <x:c r="B1" s="99"/>
      <x:c r="C1" s="99"/>
      <x:c r="D1" s="99"/>
      <x:c r="E1" s="99"/>
      <x:c r="F1" s="99"/>
      <x:c r="G1" s="99"/>
    </x:row>
    <x:row r="2" ht="30" customHeight="1">
      <x:c r="A2" s="100" t="str">
        <x:v>Criterios técnicos mínimos para seguridad, calidad, rendimiento y crecimiento. La infraestructura concreta sigue pendiente, pero no cambia estas obligaciones.</x:v>
      </x:c>
      <x:c r="B2" s="100"/>
      <x:c r="C2" s="100"/>
      <x:c r="D2" s="100"/>
      <x:c r="E2" s="100"/>
      <x:c r="F2" s="100"/>
      <x:c r="G2" s="100"/>
    </x:row>
    <x:row r="3">
      <x:c r="A3" s="101"/>
      <x:c r="B3" s="101"/>
      <x:c r="C3" s="101"/>
      <x:c r="D3" s="101"/>
      <x:c r="E3" s="101"/>
      <x:c r="F3" s="101"/>
      <x:c r="G3" s="101"/>
    </x:row>
    <x:row r="4" ht="32" customHeight="1">
      <x:c r="A4" s="113" t="str">
        <x:v>ID</x:v>
      </x:c>
      <x:c r="B4" s="113" t="str">
        <x:v>Categoría</x:v>
      </x:c>
      <x:c r="C4" s="113" t="str">
        <x:v>Requisito</x:v>
      </x:c>
      <x:c r="D4" s="113" t="str">
        <x:v>Criterio verificable</x:v>
      </x:c>
      <x:c r="E4" s="113" t="str">
        <x:v>Prioridad</x:v>
      </x:c>
      <x:c r="F4" s="113" t="str">
        <x:v>Sprint</x:v>
      </x:c>
      <x:c r="G4" s="113" t="str">
        <x:v>Fuente</x:v>
      </x:c>
    </x:row>
    <x:row r="5" ht="70" customHeight="1">
      <x:c r="A5" s="144" t="str">
        <x:v>RNF-01</x:v>
      </x:c>
      <x:c r="B5" s="122" t="str">
        <x:v>Aplicación web responsive</x:v>
      </x:c>
      <x:c r="C5" s="122" t="str">
        <x:v>La solución será web y deberá funcionar en computadora, tableta y móvil desde navegador; no se construirá una aplicación nativa.</x:v>
      </x:c>
      <x:c r="D5" s="122" t="str">
        <x:v>Flujos principales utilizables desde 360 px sin pérdida de acciones ni desplazamiento horizontal crítico.</x:v>
      </x:c>
      <x:c r="E5" s="167" t="str">
        <x:v>Alto</x:v>
      </x:c>
      <x:c r="F5" s="167" t="str">
        <x:v>S0-S7</x:v>
      </x:c>
      <x:c r="G5" s="123" t="str">
        <x:v>DEC-03</x:v>
      </x:c>
    </x:row>
    <x:row r="6" ht="70" customHeight="1">
      <x:c r="A6" s="144" t="str">
        <x:v>RNF-02</x:v>
      </x:c>
      <x:c r="B6" s="125" t="str">
        <x:v>Seguridad de acceso</x:v>
      </x:c>
      <x:c r="C6" s="125" t="str">
        <x:v>Toda operación debe aplicar autenticación, autorización por rol y aislamiento por campus/expediente.</x:v>
      </x:c>
      <x:c r="D6" s="125" t="str">
        <x:v>Pruebas de acceso cruzado devuelven 403; las sesiones y tokens no exponen datos sensibles.</x:v>
      </x:c>
      <x:c r="E6" s="168" t="str">
        <x:v>Alto</x:v>
      </x:c>
      <x:c r="F6" s="168" t="str">
        <x:v>S0-S7</x:v>
      </x:c>
      <x:c r="G6" s="126" t="str">
        <x:v>DEC-01; DEC-04</x:v>
      </x:c>
    </x:row>
    <x:row r="7" ht="70" customHeight="1">
      <x:c r="A7" s="144" t="str">
        <x:v>RNF-03</x:v>
      </x:c>
      <x:c r="B7" s="125" t="str">
        <x:v>Privacidad de documentos</x:v>
      </x:c>
      <x:c r="C7" s="125" t="str">
        <x:v>Los archivos PPP se almacenan de forma privada y solo se entregan mediante autorización temporal.</x:v>
      </x:c>
      <x:c r="D7" s="125" t="str">
        <x:v>No existen URLs públicas permanentes; descargas sensibles quedan auditadas; se valida tipo/tamaño/estructura.</x:v>
      </x:c>
      <x:c r="E7" s="168" t="str">
        <x:v>Alto</x:v>
      </x:c>
      <x:c r="F7" s="168" t="str">
        <x:v>S2-S7</x:v>
      </x:c>
      <x:c r="G7" s="126" t="str">
        <x:v>DEC-01</x:v>
      </x:c>
    </x:row>
    <x:row r="8" ht="70" customHeight="1">
      <x:c r="A8" s="144" t="str">
        <x:v>RNF-04</x:v>
      </x:c>
      <x:c r="B8" s="125" t="str">
        <x:v>Integridad y trazabilidad</x:v>
      </x:c>
      <x:c r="C8" s="125" t="str">
        <x:v>Las acciones críticas deben ser transaccionales, versionadas y auditables; no se usarán eliminaciones físicas para evidencia aprobada.</x:v>
      </x:c>
      <x:c r="D8" s="125" t="str">
        <x:v>No hay estados parciales ante fallos; documentos aprobados e historial permanecen recuperables.</x:v>
      </x:c>
      <x:c r="E8" s="168" t="str">
        <x:v>Alto</x:v>
      </x:c>
      <x:c r="F8" s="168" t="str">
        <x:v>S0-S7</x:v>
      </x:c>
      <x:c r="G8" s="126" t="str">
        <x:v>DEC-04</x:v>
      </x:c>
    </x:row>
    <x:row r="9" ht="70" customHeight="1">
      <x:c r="A9" s="144" t="str">
        <x:v>RNF-05</x:v>
      </x:c>
      <x:c r="B9" s="125" t="str">
        <x:v>Rendimiento inicial</x:v>
      </x:c>
      <x:c r="C9" s="125" t="str">
        <x:v>La solución debe soportar el uso conjunto de los tres campus sin degradación perceptible.</x:v>
      </x:c>
      <x:c r="D9" s="125" t="str">
        <x:v>Con datos de prueba representativos, 95% de listados/filtros responde en &lt;=2.5 s y soporta 100 sesiones concurrentes.</x:v>
      </x:c>
      <x:c r="E9" s="168" t="str">
        <x:v>Medio</x:v>
      </x:c>
      <x:c r="F9" s="168" t="str">
        <x:v>S7</x:v>
      </x:c>
      <x:c r="G9" s="126" t="str">
        <x:v>DEC-01</x:v>
      </x:c>
    </x:row>
    <x:row r="10" ht="70" customHeight="1">
      <x:c r="A10" s="144" t="str">
        <x:v>RNF-06</x:v>
      </x:c>
      <x:c r="B10" s="125" t="str">
        <x:v>Respaldo y recuperación</x:v>
      </x:c>
      <x:c r="C10" s="125" t="str">
        <x:v>La información transaccional y documental debe tener respaldo periódico independiente de la interfaz.</x:v>
      </x:c>
      <x:c r="D10" s="125" t="str">
        <x:v>Propuesta inicial: respaldo diario, RPO &lt;=24 h y RTO &lt;=8 h; parámetros ajustables cuando se defina infraestructura.</x:v>
      </x:c>
      <x:c r="E10" s="168" t="str">
        <x:v>Alto</x:v>
      </x:c>
      <x:c r="F10" s="168" t="str">
        <x:v>S7</x:v>
      </x:c>
      <x:c r="G10" s="126" t="str">
        <x:v>DEC-08</x:v>
      </x:c>
    </x:row>
    <x:row r="11" ht="70" customHeight="1">
      <x:c r="A11" s="144" t="str">
        <x:v>RNF-07</x:v>
      </x:c>
      <x:c r="B11" s="125" t="str">
        <x:v>Usabilidad y accesibilidad</x:v>
      </x:c>
      <x:c r="C11" s="125" t="str">
        <x:v>Estados, observaciones y bloqueos deben expresarse con texto claro, no solo con colores.</x:v>
      </x:c>
      <x:c r="D11" s="125" t="str">
        <x:v>Navegación por teclado en formularios clave, contraste legible y mensajes de error accionables.</x:v>
      </x:c>
      <x:c r="E11" s="168" t="str">
        <x:v>Medio</x:v>
      </x:c>
      <x:c r="F11" s="168" t="str">
        <x:v>S1-S7</x:v>
      </x:c>
      <x:c r="G11" s="126" t="str">
        <x:v>DEC-01</x:v>
      </x:c>
    </x:row>
    <x:row r="12" ht="70" customHeight="1">
      <x:c r="A12" s="144" t="str">
        <x:v>RNF-08</x:v>
      </x:c>
      <x:c r="B12" s="125" t="str">
        <x:v>Configurabilidad para crecimiento</x:v>
      </x:c>
      <x:c r="C12" s="125" t="str">
        <x:v>Campus, escuela, meta de horas, documentos, plantillas y escalas no deben quedar codificados de forma rígida.</x:v>
      </x:c>
      <x:c r="D12" s="125" t="str">
        <x:v>La primera instalación opera Sistemas en tres campus y permite añadir configuraciones sin rediseñar el modelo de datos.</x:v>
      </x:c>
      <x:c r="E12" s="168" t="str">
        <x:v>Alto</x:v>
      </x:c>
      <x:c r="F12" s="168" t="str">
        <x:v>S0-S7</x:v>
      </x:c>
      <x:c r="G12" s="126" t="str">
        <x:v>DEC-01; DEC-05</x:v>
      </x:c>
    </x:row>
  </x:sheetData>
  <x:mergeCells>
    <x:mergeCell ref="A1:G1"/>
    <x:mergeCell ref="A2:G2"/>
  </x:mergeCells>
  <x:conditionalFormatting sqref="E5:E12">
    <x:cfRule type="containsText" dxfId="27" priority="1" operator="containsText" text="Alto"/>
    <x:cfRule type="containsText" dxfId="28" priority="2" operator="containsText" text="Medio"/>
    <x:cfRule type="containsText" dxfId="29" priority="3" operator="containsText" text="Bajo"/>
  </x:conditionalFormatting>
  <x:pageMargins left="0.7" right="0.7" top="0.75" bottom="0.75" header="0.3" footer="0.3"/>
  <x:tableParts count="1">
    <x:tablePart xmlns:r="http://schemas.openxmlformats.org/officeDocument/2006/relationships" r:id="R7b5d2404fd16441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55" hidden="0" customWidth="1"/>
    <x:col min="3" max="3" width="31" hidden="0" customWidth="1"/>
    <x:col min="4" max="4" width="78" hidden="0" customWidth="1"/>
    <x:col min="5" max="5" width="24" hidden="0" customWidth="1"/>
  </x:cols>
  <x:sheetData>
    <x:row r="1" ht="34" customHeight="1">
      <x:c r="A1" s="99" t="str">
        <x:v>TRAZABILIDAD DE FUENTES Y DECISIONES</x:v>
      </x:c>
      <x:c r="B1" s="99"/>
      <x:c r="C1" s="99"/>
      <x:c r="D1" s="99"/>
      <x:c r="E1" s="99"/>
    </x:row>
    <x:row r="2" ht="30" customHeight="1">
      <x:c r="A2" s="100" t="str">
        <x:v>Cada historia referencia estos códigos. Los documentos históricos sirven como evidencia del proceso; las decisiones confirmadas gobiernan el alcance del MVP.</x:v>
      </x:c>
      <x:c r="B2" s="100"/>
      <x:c r="C2" s="100"/>
      <x:c r="D2" s="100"/>
      <x:c r="E2" s="100"/>
    </x:row>
    <x:row r="3">
      <x:c r="A3" s="101"/>
      <x:c r="B3" s="101"/>
      <x:c r="C3" s="101"/>
      <x:c r="D3" s="101"/>
      <x:c r="E3" s="101"/>
    </x:row>
    <x:row r="4" ht="26" customHeight="1">
      <x:c r="A4" s="112" t="str">
        <x:v>Documentos revisados</x:v>
      </x:c>
      <x:c r="B4" s="112"/>
      <x:c r="C4" s="112"/>
      <x:c r="D4" s="112"/>
      <x:c r="E4" s="112"/>
    </x:row>
    <x:row r="5" ht="32" customHeight="1">
      <x:c r="A5" s="113" t="str">
        <x:v>Código</x:v>
      </x:c>
      <x:c r="B5" s="113" t="str">
        <x:v>Archivo</x:v>
      </x:c>
      <x:c r="C5" s="113" t="str">
        <x:v>Tema</x:v>
      </x:c>
      <x:c r="D5" s="113" t="str">
        <x:v>Evidencia usada</x:v>
      </x:c>
      <x:c r="E5" s="113" t="str">
        <x:v>Clasificación</x:v>
      </x:c>
    </x:row>
    <x:row r="6" ht="48" customHeight="1">
      <x:c r="A6" s="144" t="str">
        <x:v>DOC-01</x:v>
      </x:c>
      <x:c r="B6" s="122" t="str">
        <x:v>Inducción - PPP.pdf</x:v>
      </x:c>
      <x:c r="C6" s="122" t="str">
        <x:v>Flujo y documentos</x:v>
      </x:c>
      <x:c r="D6" s="122" t="str">
        <x:v>Fases Inicio-Proceso-Cierre; 700 horas PPP + 50 de proyección; lista del file del practicante.</x:v>
      </x:c>
      <x:c r="E6" s="123" t="str">
        <x:v>Fuente histórica</x:v>
      </x:c>
    </x:row>
    <x:row r="7" ht="48" customHeight="1">
      <x:c r="A7" s="144" t="str">
        <x:v>DOC-02</x:v>
      </x:c>
      <x:c r="B7" s="125" t="str">
        <x:v>Ficha de evaluación de PPP de la empresa.pdf</x:v>
      </x:c>
      <x:c r="C7" s="125" t="str">
        <x:v>Evaluación empresarial</x:v>
      </x:c>
      <x:c r="D7" s="125" t="str">
        <x:v>Criterios Sí/No/NA, actividades, nota general 0-20, firma y sello.</x:v>
      </x:c>
      <x:c r="E7" s="126" t="str">
        <x:v>Formato vigente por validar</x:v>
      </x:c>
    </x:row>
    <x:row r="8" ht="48" customHeight="1">
      <x:c r="A8" s="144" t="str">
        <x:v>DOC-03</x:v>
      </x:c>
      <x:c r="B8" s="125" t="str">
        <x:v>Ficha de evaluación de PPP del docente supervisor.pdf</x:v>
      </x:c>
      <x:c r="C8" s="125" t="str">
        <x:v>Evaluación docente</x:v>
      </x:c>
      <x:c r="D8" s="125" t="str">
        <x:v>Entrada/Intermedio/Final; competencias; escala 1-5/NA.</x:v>
      </x:c>
      <x:c r="E8" s="126" t="str">
        <x:v>Formato vigente por validar</x:v>
      </x:c>
    </x:row>
    <x:row r="9" ht="48" customHeight="1">
      <x:c r="A9" s="144" t="str">
        <x:v>DOC-04</x:v>
      </x:c>
      <x:c r="B9" s="125" t="str">
        <x:v>Modelo de Convenio de Practicas pre profesionales ok.pdf</x:v>
      </x:c>
      <x:c r="C9" s="125" t="str">
        <x:v>Convenio</x:v>
      </x:c>
      <x:c r="D9" s="125" t="str">
        <x:v>Datos de empresa, estudiante, centro, fechas, horario, área, obligaciones, suspensión y término.</x:v>
      </x:c>
      <x:c r="E9" s="126" t="str">
        <x:v>Plantilla histórica</x:v>
      </x:c>
    </x:row>
    <x:row r="10" ht="48" customHeight="1">
      <x:c r="A10" s="144" t="str">
        <x:v>DOC-05</x:v>
      </x:c>
      <x:c r="B10" s="125" t="str">
        <x:v>Modelo de Informe de PPP - EP ING. Sistemas.pdf</x:v>
      </x:c>
      <x:c r="C10" s="125" t="str">
        <x:v>Informe final</x:v>
      </x:c>
      <x:c r="D10" s="125" t="str">
        <x:v>Estructura de generalidades, actividades, resultados, conclusiones, recomendaciones y anexos.</x:v>
      </x:c>
      <x:c r="E10" s="126" t="str">
        <x:v>Plantilla histórica</x:v>
      </x:c>
    </x:row>
    <x:row r="11" ht="48" customHeight="1">
      <x:c r="A11" s="144" t="str">
        <x:v>DOC-06</x:v>
      </x:c>
      <x:c r="B11" s="125" t="str">
        <x:v>InfoEmpresa.pdf</x:v>
      </x:c>
      <x:c r="C11" s="125" t="str">
        <x:v>Formulario de empresa</x:v>
      </x:c>
      <x:c r="D11" s="125" t="str">
        <x:v>Alumno, código, año, empresa, representante, cargo, dirección, teléfono, área y fecha.</x:v>
      </x:c>
      <x:c r="E11" s="126" t="str">
        <x:v>Formato histórico</x:v>
      </x:c>
    </x:row>
    <x:row r="12" ht="48" customHeight="1">
      <x:c r="A12" s="144" t="str">
        <x:v>DOC-07</x:v>
      </x:c>
      <x:c r="B12" s="125" t="str">
        <x:v>Estudiante - Yaritza Raquel, Casildo Chanducas(1).pdf</x:v>
      </x:c>
      <x:c r="C12" s="125" t="str">
        <x:v>Carta de presentación</x:v>
      </x:c>
      <x:c r="D12" s="125" t="str">
        <x:v>Destinatario, estudiante, código, ciclo, escuela, empresa y área de práctica.</x:v>
      </x:c>
      <x:c r="E12" s="126" t="str">
        <x:v>Expediente real</x:v>
      </x:c>
    </x:row>
    <x:row r="13" ht="48" customHeight="1">
      <x:c r="A13" s="144" t="str">
        <x:v>DOC-08</x:v>
      </x:c>
      <x:c r="B13" s="125" t="str">
        <x:v>Res. N° 1077 - CASILDO CHANDUCAS Yaritza Raquel(1).pdf</x:v>
      </x:c>
      <x:c r="C13" s="125" t="str">
        <x:v>Reconocimiento</x:v>
      </x:c>
      <x:c r="D13" s="125" t="str">
        <x:v>Resolución individual que declara cumplimiento de horas PPP.</x:v>
      </x:c>
      <x:c r="E13" s="126" t="str">
        <x:v>Expediente real</x:v>
      </x:c>
    </x:row>
    <x:row r="14" ht="48" customHeight="1">
      <x:c r="A14" s="144" t="str">
        <x:v>DOC-09</x:v>
      </x:c>
      <x:c r="B14" s="125" t="str">
        <x:v>102-2021 Constancia de Trabajo System Strategy - Yaritza Casildo.pdf</x:v>
      </x:c>
      <x:c r="C14" s="125" t="str">
        <x:v>Constancia</x:v>
      </x:c>
      <x:c r="D14" s="125" t="str">
        <x:v>Empresa, practicante, funciones, periodo, resultado y firma.</x:v>
      </x:c>
      <x:c r="E14" s="126" t="str">
        <x:v>Expediente real</x:v>
      </x:c>
    </x:row>
    <x:row r="15" ht="48" customHeight="1">
      <x:c r="A15" s="144" t="str">
        <x:v>DOC-10</x:v>
      </x:c>
      <x:c r="B15" s="125" t="str">
        <x:v>102-2021 Carta de Aceptación - Yaritza Casildo(1).pdf</x:v>
      </x:c>
      <x:c r="C15" s="125" t="str">
        <x:v>Carta de aceptación</x:v>
      </x:c>
      <x:c r="D15" s="125" t="str">
        <x:v>Empresa, estudiante, código, ciclo, periodo/área y aceptación.</x:v>
      </x:c>
      <x:c r="E15" s="126" t="str">
        <x:v>Expediente real</x:v>
      </x:c>
    </x:row>
    <x:row r="16" ht="48" customHeight="1">
      <x:c r="A16" s="144" t="str">
        <x:v>DOC-11</x:v>
      </x:c>
      <x:c r="B16" s="125" t="str">
        <x:v>102-2021 Evaluación de PPP - Yaritza Casildo(1).pdf</x:v>
      </x:c>
      <x:c r="C16" s="125" t="str">
        <x:v>Evaluación empresa</x:v>
      </x:c>
      <x:c r="D16" s="125" t="str">
        <x:v>Ejemplo completado con 868 horas y nota 18.</x:v>
      </x:c>
      <x:c r="E16" s="126" t="str">
        <x:v>Expediente real</x:v>
      </x:c>
    </x:row>
    <x:row r="17" ht="48" customHeight="1">
      <x:c r="A17" s="144" t="str">
        <x:v>DOC-12</x:v>
      </x:c>
      <x:c r="B17" s="125" t="str">
        <x:v>Yaritza Casilda - E1(1).docx</x:v>
      </x:c>
      <x:c r="C17" s="125" t="str">
        <x:v>Evaluación docente</x:v>
      </x:c>
      <x:c r="D17" s="125" t="str">
        <x:v>Ejemplo de evaluación de entrada con el instrumento académico.</x:v>
      </x:c>
      <x:c r="E17" s="126" t="str">
        <x:v>Expediente real</x:v>
      </x:c>
    </x:row>
    <x:row r="18" ht="48" customHeight="1">
      <x:c r="A18" s="144" t="str">
        <x:v>DOC-13</x:v>
      </x:c>
      <x:c r="B18" s="125" t="str">
        <x:v>102-2021 Convenio de PPP - Yaritza Casildo.pdf</x:v>
      </x:c>
      <x:c r="C18" s="125" t="str">
        <x:v>Convenio real</x:v>
      </x:c>
      <x:c r="D18" s="125" t="str">
        <x:v>Ejemplo firmado de convenio vinculado al expediente.</x:v>
      </x:c>
      <x:c r="E18" s="126" t="str">
        <x:v>Expediente real</x:v>
      </x:c>
    </x:row>
    <x:row r="19" ht="48" customHeight="1">
      <x:c r="A19" s="144" t="str">
        <x:v>DOC-14</x:v>
      </x:c>
      <x:c r="B19" s="125" t="str">
        <x:v>102-2021 Plan de Trabajo de PPP - Yaritza Casildo(1).pdf</x:v>
      </x:c>
      <x:c r="C19" s="125" t="str">
        <x:v>Plan y horas</x:v>
      </x:c>
      <x:c r="D19" s="125" t="str">
        <x:v>Objetivos, funciones, actividades, horas, cronograma y control diario.</x:v>
      </x:c>
      <x:c r="E19" s="126" t="str">
        <x:v>Expediente real</x:v>
      </x:c>
    </x:row>
    <x:row r="20" ht="48" customHeight="1">
      <x:c r="A20" s="144" t="str">
        <x:v>DOC-15</x:v>
      </x:c>
      <x:c r="B20" s="125" t="str">
        <x:v>102-2021 Informe de PPP - Yaritza Casildo(1).pdf</x:v>
      </x:c>
      <x:c r="C20" s="125" t="str">
        <x:v>Informe real</x:v>
      </x:c>
      <x:c r="D20" s="125" t="str">
        <x:v>Ejemplo de informe final del practicante.</x:v>
      </x:c>
      <x:c r="E20" s="126" t="str">
        <x:v>Expediente real</x:v>
      </x:c>
    </x:row>
    <x:row r="21" ht="48" customHeight="1">
      <x:c r="A21" s="144" t="str">
        <x:v>DOC-16</x:v>
      </x:c>
      <x:c r="B21" s="125" t="str">
        <x:v>Informe de seguimiento a las PPP-0000.pdf</x:v>
      </x:c>
      <x:c r="C21" s="125" t="str">
        <x:v>Seguimiento y reportes</x:v>
      </x:c>
      <x:c r="D21" s="125" t="str">
        <x:v>Supervisión entrada/intermedia/final, evaluación empresarial, herramientas actuales e informe anual.</x:v>
      </x:c>
      <x:c r="E21" s="126" t="str">
        <x:v>Informe de proceso</x:v>
      </x:c>
    </x:row>
    <x:row r="22">
      <x:c r="A22" s="101"/>
      <x:c r="B22" s="101"/>
      <x:c r="C22" s="101"/>
      <x:c r="D22" s="101"/>
      <x:c r="E22" s="101"/>
    </x:row>
    <x:row r="23" ht="26" customHeight="1">
      <x:c r="A23" s="112" t="str">
        <x:v>Decisiones de alcance aplicadas</x:v>
      </x:c>
      <x:c r="B23" s="112"/>
      <x:c r="C23" s="112"/>
      <x:c r="D23" s="112"/>
      <x:c r="E23" s="112"/>
    </x:row>
    <x:row r="24" ht="32" customHeight="1">
      <x:c r="A24" s="113" t="str">
        <x:v>Código</x:v>
      </x:c>
      <x:c r="B24" s="113" t="str">
        <x:v>Estado</x:v>
      </x:c>
      <x:c r="C24" s="113" t="str">
        <x:v>Decisión</x:v>
      </x:c>
      <x:c r="D24" s="101"/>
      <x:c r="E24" s="101"/>
    </x:row>
    <x:row r="25">
      <x:c r="A25" s="144" t="str">
        <x:v>DEC-01</x:v>
      </x:c>
      <x:c r="B25" s="122" t="str">
        <x:v>Confirmada</x:v>
      </x:c>
      <x:c r="C25" s="123" t="str">
        <x:v>Aplicación web para Ingeniería de Sistemas en los tres campus; estructura configurable y cinco roles internos.</x:v>
      </x:c>
      <x:c r="D25" s="101"/>
      <x:c r="E25" s="101"/>
    </x:row>
    <x:row r="26">
      <x:c r="A26" s="144" t="str">
        <x:v>DEC-02</x:v>
      </x:c>
      <x:c r="B26" s="125" t="str">
        <x:v>Confirmada</x:v>
      </x:c>
      <x:c r="C26" s="126" t="str">
        <x:v>Secretaría tendrá cuenta; estudiante solicita, sistema genera plantilla, Secretaría aprueba u observa y el estudiante corrige/reenvía.</x:v>
      </x:c>
      <x:c r="D26" s="101"/>
      <x:c r="E26" s="101"/>
    </x:row>
    <x:row r="27">
      <x:c r="A27" s="144" t="str">
        <x:v>DEC-03</x:v>
      </x:c>
      <x:c r="B27" s="125" t="str">
        <x:v>Confirmada</x:v>
      </x:c>
      <x:c r="C27" s="126" t="str">
        <x:v>Sin aplicación móvil, WhatsApp, biometría, geolocalización, integración Lamb ni validación del curso por API en el MVP.</x:v>
      </x:c>
      <x:c r="D27" s="101"/>
      <x:c r="E27" s="101"/>
    </x:row>
    <x:row r="28">
      <x:c r="A28" s="144" t="str">
        <x:v>DEC-04</x:v>
      </x:c>
      <x:c r="B28" s="125" t="str">
        <x:v>Confirmada</x:v>
      </x:c>
      <x:c r="C28" s="126" t="str">
        <x:v>Un expediente por práctica, acumulación por estudiante y Auditor institucional de solo lectura para los tres campus.</x:v>
      </x:c>
      <x:c r="D28" s="101"/>
      <x:c r="E28" s="101"/>
    </x:row>
    <x:row r="29">
      <x:c r="A29" s="144" t="str">
        <x:v>DEC-05</x:v>
      </x:c>
      <x:c r="B29" s="125" t="str">
        <x:v>Modelado aplicado</x:v>
      </x:c>
      <x:c r="C29" s="126" t="str">
        <x:v>Meta PPP configurable inicial de 700 horas; proyección social se mantiene fuera para no mezclar procesos.</x:v>
      </x:c>
      <x:c r="D29" s="101"/>
      <x:c r="E29" s="101"/>
    </x:row>
    <x:row r="30">
      <x:c r="A30" s="144" t="str">
        <x:v>DEC-06</x:v>
      </x:c>
      <x:c r="B30" s="125" t="str">
        <x:v>Confirmada por alcance</x:v>
      </x:c>
      <x:c r="C30" s="126" t="str">
        <x:v>Empresa sin cuenta; evaluación y constancia se adjuntan como documentos externos.</x:v>
      </x:c>
      <x:c r="D30" s="101"/>
      <x:c r="E30" s="101"/>
    </x:row>
    <x:row r="31">
      <x:c r="A31" s="144" t="str">
        <x:v>DEC-07</x:v>
      </x:c>
      <x:c r="B31" s="125" t="str">
        <x:v>Confirmada en validación previa</x:v>
      </x:c>
      <x:c r="C31" s="126" t="str">
        <x:v>Migración inicial solo de prácticas activas.</x:v>
      </x:c>
      <x:c r="D31" s="101"/>
      <x:c r="E31" s="101"/>
    </x:row>
    <x:row r="32">
      <x:c r="A32" s="144" t="str">
        <x:v>DEC-08</x:v>
      </x:c>
      <x:c r="B32" s="125" t="str">
        <x:v>Pendiente técnico no bloqueante</x:v>
      </x:c>
      <x:c r="C32" s="126" t="str">
        <x:v>Hosting, dominio, proveedor de identidad, respaldo y operación se definirán durante implementación.</x:v>
      </x:c>
      <x:c r="D32" s="101"/>
      <x:c r="E32" s="101"/>
    </x:row>
  </x:sheetData>
  <x:mergeCells>
    <x:mergeCell ref="A1:E1"/>
    <x:mergeCell ref="A2:E2"/>
    <x:mergeCell ref="A4:E4"/>
    <x:mergeCell ref="A23:E23"/>
  </x:mergeCells>
  <x:conditionalFormatting sqref="B25:B32">
    <x:cfRule type="containsText" dxfId="30" priority="1" operator="containsText" text="Confirmada"/>
    <x:cfRule type="containsText" dxfId="31" priority="2" operator="containsText" text="Pendiente"/>
  </x:conditionalFormatting>
  <x:pageMargins left="0.7" right="0.7" top="0.75" bottom="0.75" header="0.3" footer="0.3"/>
</x:worksheet>
</file>